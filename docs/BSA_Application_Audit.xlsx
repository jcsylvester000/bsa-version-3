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udit Findings" sheetId="2" state="visible" r:id="rId4"/>
    <sheet name="Retired Items" sheetId="3" state="visible" r:id="rId5"/>
  </sheets>
  <definedNames>
    <definedName function="false" hidden="true" localSheetId="1" name="_xlnm._FilterDatabase" vbProcedure="false">'Audit Findings'!$A$4:$M$56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<sst xmlns="http://schemas.openxmlformats.org/spreadsheetml/2006/main" count="712" uniqueCount="419">
  <si>
    <t xml:space="preserve">BSA v3 — Application Audit</t>
  </si>
  <si>
    <t xml:space="preserve">GRID Property Ventures · Business Site Analysis · audited 25 Sep 2026 (after the AI removal and brand update)</t>
  </si>
  <si>
    <t xml:space="preserve">Findings by area and severity</t>
  </si>
  <si>
    <t xml:space="preserve">Area</t>
  </si>
  <si>
    <t xml:space="preserve">High</t>
  </si>
  <si>
    <t xml:space="preserve">Medium</t>
  </si>
  <si>
    <t xml:space="preserve">Low</t>
  </si>
  <si>
    <t xml:space="preserve">Total</t>
  </si>
  <si>
    <t xml:space="preserve">Done</t>
  </si>
  <si>
    <t xml:space="preserve">Stability &amp; bugs</t>
  </si>
  <si>
    <t xml:space="preserve">Data &amp; scoring</t>
  </si>
  <si>
    <t xml:space="preserve">Performance</t>
  </si>
  <si>
    <t xml:space="preserve">Security</t>
  </si>
  <si>
    <t xml:space="preserve">UX &amp; accessibility</t>
  </si>
  <si>
    <t xml:space="preserve">Code health</t>
  </si>
  <si>
    <t xml:space="preserve">Operations</t>
  </si>
  <si>
    <t xml:space="preserve">Do these first (highest impact, mostly small effort)</t>
  </si>
  <si>
    <t xml:space="preserve">1. F-01 / F-02 — remove the remaining transaction-prone queries (same crash as the old AI report)</t>
  </si>
  <si>
    <t xml:space="preserve">2. F-03 — delete the leftover calls to the removed AI endpoint (404s and a fake 'writing' step)</t>
  </si>
  <si>
    <t xml:space="preserve">3. F-07 — make the dashboard verdict and the Final Report recommendation always agree</t>
  </si>
  <si>
    <t xml:space="preserve">4. F-49 / F-50 — auto-apply migrations on deploy and show the running build id</t>
  </si>
  <si>
    <t xml:space="preserve">5. F-48 — CI on every push</t>
  </si>
  <si>
    <t xml:space="preserve">6. F-32 / F-33 — mobile navigation and an accurate onboarding tour</t>
  </si>
  <si>
    <t xml:space="preserve">7. F-04 — keep each pipeline slice inside the time limit</t>
  </si>
  <si>
    <t xml:space="preserve">8. F-31 — rotate the exposed Google key and passwords</t>
  </si>
  <si>
    <t xml:space="preserve">9. F-19 — run the Cavite/Batangas data loads, then re-test</t>
  </si>
  <si>
    <t xml:space="preserve">10. F-42 / F-52 — remove leftover AI code and update the docs for handoff</t>
  </si>
  <si>
    <t xml:space="preserve">How to use this workbook</t>
  </si>
  <si>
    <t xml:space="preserve">• Audit Findings — every issue with the Problem, its Cause, How to implement the fix and the Desired result, plus evidence (file:line), effort and owner.</t>
  </si>
  <si>
    <t xml:space="preserve">• Update the Status column (Open / In progress / Done / Won't do) as work lands — the Done counts above update automatically.</t>
  </si>
  <si>
    <t xml:space="preserve">• Severity: High = can break the app, give a wrong recommendation, or expose data. Medium = a real quality or security gap. Low = hygiene.</t>
  </si>
  <si>
    <t xml:space="preserve">• Priority is a formula from Severity (High → P1, Medium → P2, Low → P3). Effort: S ≈ under a day, M ≈ 1–3 days, L ≈ a week or more.</t>
  </si>
  <si>
    <t xml:space="preserve">• Source shows whether an item is new from this audit or carried over from the 23 Sep backlog (docs/BSA_Improvement_Backlog.xlsx).</t>
  </si>
  <si>
    <t xml:space="preserve">• Retired Items — earlier backlog items that no longer apply (AI removed) or are already done.</t>
  </si>
  <si>
    <t xml:space="preserve">• Evidence was confirmed in the code on 25 Sep 2026; line numbers can drift as files change.</t>
  </si>
  <si>
    <t xml:space="preserve">Audit Findings</t>
  </si>
  <si>
    <t xml:space="preserve">Edit the Status column (drop-down) as work progresses. Priority is calculated from Severity.</t>
  </si>
  <si>
    <t xml:space="preserve">ID</t>
  </si>
  <si>
    <t xml:space="preserve">Severity</t>
  </si>
  <si>
    <t xml:space="preserve">Priority</t>
  </si>
  <si>
    <t xml:space="preserve">Problem</t>
  </si>
  <si>
    <t xml:space="preserve">Cause</t>
  </si>
  <si>
    <t xml:space="preserve">How to implement</t>
  </si>
  <si>
    <t xml:space="preserve">Desired result</t>
  </si>
  <si>
    <t xml:space="preserve">Evidence (file:line)</t>
  </si>
  <si>
    <t xml:space="preserve">Effort</t>
  </si>
  <si>
    <t xml:space="preserve">Owner</t>
  </si>
  <si>
    <t xml:space="preserve">Source</t>
  </si>
  <si>
    <t xml:space="preserve">Status</t>
  </si>
  <si>
    <t xml:space="preserve">F-01</t>
  </si>
  <si>
    <t xml:space="preserve">The analysis pipeline can crash with "Transactions are not supported in HTTP mode" — the same error that broke the AI report.</t>
  </si>
  <si>
    <t xml:space="preserve">lib/modules/orchestrator.ts loads the run with findUniqueOrThrow + include (sites, franchisor, intake). Under the Neon HTTP adapter Prisma runs that as an implicit transaction, which HTTP mode rejects.</t>
  </si>
  <si>
    <t xml:space="preserve">Replace with findUnique (flat select) + explicit null check, then read sites / franchisor / intake with separate flat queries. Add a lint rule or test that bans findUniqueOrThrow/findFirstOrThrow combined with include on request paths.</t>
  </si>
  <si>
    <t xml:space="preserve">Running or re-running an intake never fails on the database adapter; one consistent data-access pattern across the app.</t>
  </si>
  <si>
    <t xml:space="preserve">lib/modules/orchestrator.ts:80</t>
  </si>
  <si>
    <t xml:space="preserve">S</t>
  </si>
  <si>
    <t xml:space="preserve">Dev team</t>
  </si>
  <si>
    <t xml:space="preserve">New audit</t>
  </si>
  <si>
    <t xml:space="preserve">F-02</t>
  </si>
  <si>
    <t xml:space="preserve">The run report, full report and scorecard builders use the same transaction-prone query.</t>
  </si>
  <si>
    <t xml:space="preserve">lib/modules/reportComposer.ts uses findUniqueOrThrow with include: { franchisor } on POST /api/reports, /api/reports/full and buildScorecards.</t>
  </si>
  <si>
    <t xml:space="preserve">Same fix as F-01: flat findUnique + separate franchisor read + null check.</t>
  </si>
  <si>
    <t xml:space="preserve">Run Report and PDF exports generate reliably on Netlify + Neon.</t>
  </si>
  <si>
    <t xml:space="preserve">lib/modules/reportComposer.ts:206</t>
  </si>
  <si>
    <t xml:space="preserve">F-03</t>
  </si>
  <si>
    <t xml:space="preserve">"Re-run analysis" and New Intake submit still call the deleted AI endpoint, fire a 404 per site and show a fake "Writing analyses…" step.</t>
  </si>
  <si>
    <t xml:space="preserve">When the AI report was removed, the client loops that POST /api/analysis-report after each run were left in place; errors are swallowed by .catch(() =&gt; null).</t>
  </si>
  <si>
    <t xml:space="preserve">Delete the analysis-report loops and the "writing" phase in RunPipelineButton and SteppedIntakeWizard; update the button tooltip copy.</t>
  </si>
  <si>
    <t xml:space="preserve">Re-run and submit finish as soon as the modules finish; no wasted requests or misleading status text.</t>
  </si>
  <si>
    <t xml:space="preserve">components/RunPipelineButton.tsx:33-56; components/SteppedIntakeWizard.tsx:370</t>
  </si>
  <si>
    <t xml:space="preserve">F-04</t>
  </si>
  <si>
    <t xml:space="preserve">One pipeline slice can outlive the serverless time limit, and a killed site is retried forever.</t>
  </si>
  <si>
    <t xml:space="preserve">The time budget is only checked between sites; each site can spend up to ~4.5 s warming the POI cache twice (orchestrator + Territory Guard) plus White-Space. The run route sets no maxDuration. analyzedAt is never written when the function is killed.</t>
  </si>
  <si>
    <t xml:space="preserve">Set export const maxDuration on /api/runs/[id]/run; warm the POI cache once per site and pass the result to Territory Guard; add an attempt counter on candidate_site and mark the site failed after N attempts.</t>
  </si>
  <si>
    <t xml:space="preserve">Every slice returns inside the platform limit; stuck sites fail clearly instead of looping.</t>
  </si>
  <si>
    <t xml:space="preserve">lib/modules/orchestrator.ts:131,150; lib/modules/territoryGuard.ts:330; lib/places/poiCache.ts:125; app/api/runs/[id]/run/route.ts</t>
  </si>
  <si>
    <t xml:space="preserve">M</t>
  </si>
  <si>
    <t xml:space="preserve">F-05</t>
  </si>
  <si>
    <t xml:space="preserve">Two browser tabs (or a double click) can process the same pending sites at the same time.</t>
  </si>
  <si>
    <t xml:space="preserve">The orchestrator picks pending sites with a plain read; nothing claims them before processing.</t>
  </si>
  <si>
    <t xml:space="preserve">Claim each site with a conditional updateMany (e.g. set processing_started_at where analyzed_at is null and not recently claimed) and skip sites whose claim fails.</t>
  </si>
  <si>
    <t xml:space="preserve">Each site is analysed exactly once per run; no duplicated work or racing writes.</t>
  </si>
  <si>
    <t xml:space="preserve">lib/modules/orchestrator.ts:117-128</t>
  </si>
  <si>
    <t xml:space="preserve">Open</t>
  </si>
  <si>
    <t xml:space="preserve">F-06</t>
  </si>
  <si>
    <t xml:space="preserve">A rejected or failed intake leaves orphan brands and half-written runs.</t>
  </si>
  <si>
    <t xml:space="preserve">For independent businesses the franchisor row is created before the 80% completeness check; intake, outlets, run and sites are then written one by one with no cleanup (no transactions on Neon HTTP).</t>
  </si>
  <si>
    <t xml:space="preserve">Run all validation and the completeness gate before any write; wrap the write sequence in try/catch with compensating deletes (or use a pooled client for this route).</t>
  </si>
  <si>
    <t xml:space="preserve">A failed submit leaves the database unchanged; no stray brands in Franchise Screening.</t>
  </si>
  <si>
    <t xml:space="preserve">app/api/intake/route.ts:52,86,219</t>
  </si>
  <si>
    <t xml:space="preserve">F-07</t>
  </si>
  <si>
    <t xml:space="preserve">The Site Dashboard verdict and the Final Report recommendation can disagree for the same site.</t>
  </si>
  <si>
    <t xml:space="preserve">The dashboard uses the weighted composite score (scorecard.ts: Go ≥65, Caution ≥45, Site Fit 30%, capped when Site Fit is missing). The Final Report/PDF use summariseSite, which reads only Territory, Lease and Daypart with different Daypart cut-offs (60/40).</t>
  </si>
  <si>
    <t xml:space="preserve">Make one source of truth: feed the composite band into summariseSite so the recommendation can never be better than the scorecard band (or add Site Fit to summariseSite with the same weights). Add a unit test asserting the two always agree.</t>
  </si>
  <si>
    <t xml:space="preserve">A broker sees the same Proceed / Caution / No-Go call on the dashboard, the Final Report and the PDF.</t>
  </si>
  <si>
    <t xml:space="preserve">lib/modules/scorecard.ts:40-42,102; lib/modules/siteVerdict.ts:87-144</t>
  </si>
  <si>
    <t xml:space="preserve">F-08</t>
  </si>
  <si>
    <t xml:space="preserve">Provincial lease reads use an NCR-only rent-to-land calibration and NCR wording.</t>
  </si>
  <si>
    <t xml:space="preserve">The ₱6–14 per ₱1,000 zonal band and the "typical NCR band" text were calibrated on NCR corridors but are applied to Davao, Cavite and Batangas zonal values.</t>
  </si>
  <si>
    <t xml:space="preserve">Store a calibration band per region in the region registry; return 'unknown' and hide the cross-check when a region has none; make the note text region-aware.</t>
  </si>
  <si>
    <t xml:space="preserve">Provincial rent-to-land cross-checks are either calibrated for that region or honestly withheld.</t>
  </si>
  <si>
    <t xml:space="preserve">lib/modules/leaseMath.ts:272-331; lib/modules/leaseBenchmark.ts:180-182</t>
  </si>
  <si>
    <t xml:space="preserve">F-09</t>
  </si>
  <si>
    <t xml:space="preserve">Several code paths still silently default to NCR.</t>
  </si>
  <si>
    <t xml:space="preserve">Lease falls back to the Quezon City corridor for any region; zonal lookups default to 'NCR'; ingest sweeps default to the NCR grid.</t>
  </si>
  <si>
    <t xml:space="preserve">Resolve the fallback corridor per region from the registry; return null / 'no data' when a region has no zonal rows; require --region on ingest scripts.</t>
  </si>
  <si>
    <t xml:space="preserve">A Cavite or Batangas site is never scored against Metro Manila data without a clear flag.</t>
  </si>
  <si>
    <t xml:space="preserve">lib/modules/orchestrator.ts:55,176; lib/modules/p2p3Modules.ts:282; lib/modules/leaseBenchmark.ts:62; lib/geo/zonalRow.ts:39; lib/ingest/places.ts:231,324,403,461</t>
  </si>
  <si>
    <t xml:space="preserve">F-10</t>
  </si>
  <si>
    <t xml:space="preserve">Some modules report a value when they actually have no data.</t>
  </si>
  <si>
    <t xml:space="preserve">Daypart's last-resort nearest demographic cell has no distance cap (can borrow another region's cell); a silently failed OSM warm returns 0 competitors, so Informal scores a perfect 100; Healthcare uses cnt ?? 0.</t>
  </si>
  <si>
    <t xml:space="preserve">Cap the nearest-cell fallback (e.g. 5 km); propagate a 'coverage unknown' flag from the POI cache and return null scores when coverage failed; treat missing counts as null, not 0.</t>
  </si>
  <si>
    <t xml:space="preserve">Missing data shows as "—" / low confidence, never as a strong score (Truth Layer rule).</t>
  </si>
  <si>
    <t xml:space="preserve">lib/modules/p2p3Modules.ts:66-70,142,173; lib/places/poiCache.ts:129,186</t>
  </si>
  <si>
    <t xml:space="preserve">F-11</t>
  </si>
  <si>
    <t xml:space="preserve">White-Space can recommend barangays in another region (e.g. Davao areas for an NCR site).</t>
  </si>
  <si>
    <t xml:space="preserve">The White-Space ranking has no region or distance limit.</t>
  </si>
  <si>
    <t xml:space="preserve">Filter candidate areas by the site's region and a maximum distance (e.g. ST_DWithin 10–15 km).</t>
  </si>
  <si>
    <t xml:space="preserve">White-Space suggestions are always local and actionable for the broker.</t>
  </si>
  <si>
    <t xml:space="preserve">lib/modules/p2p3Math.ts:387-389</t>
  </si>
  <si>
    <t xml:space="preserve">F-12</t>
  </si>
  <si>
    <t xml:space="preserve">The schema allows duplicate or colliding reference data.</t>
  </si>
  <si>
    <t xml:space="preserve">mall_property has no unique key but is upserted by mall name (same-name malls in different regions overwrite each other); lease_comp has no natural key; demographic_cell has no region column.</t>
  </si>
  <si>
    <t xml:space="preserve">Add region to mall_property + unique (region, mall_name); add a natural key to lease_comp; add region to demographic_cell (backfill from admin_boundary); update the loaders.</t>
  </si>
  <si>
    <t xml:space="preserve">Loading one province can never overwrite another's malls or comps; region-scoped reads become cheap.</t>
  </si>
  <si>
    <t xml:space="preserve">prisma/schema.prisma:398-457; lib/ingest/loaders.ts:185</t>
  </si>
  <si>
    <t xml:space="preserve">F-13</t>
  </si>
  <si>
    <t xml:space="preserve">A failed lease load can wipe a corridor's comps.</t>
  </si>
  <si>
    <t xml:space="preserve">loadLease deletes each (format, corridor) group and re-inserts it without a transaction.</t>
  </si>
  <si>
    <t xml:space="preserve">Insert the new rows first, then delete the old rows by id (or load through a pooled client inside a transaction).</t>
  </si>
  <si>
    <t xml:space="preserve">Re-loading comps is always safe; a corridor is never left empty.</t>
  </si>
  <si>
    <t xml:space="preserve">lib/ingest/loaders.ts:112-133</t>
  </si>
  <si>
    <t xml:space="preserve">F-14</t>
  </si>
  <si>
    <t xml:space="preserve">Lease comps have no freshness rule.</t>
  </si>
  <si>
    <t xml:space="preserve">observedDate is only used for ordering; old comps are never flagged or aged out.</t>
  </si>
  <si>
    <t xml:space="preserve">Flag comps older than 18 months, down-weight or exclude them past 36 months, and show 'data as of' on the Lease tab. Optional broker endpoint to submit confirmed rents.</t>
  </si>
  <si>
    <t xml:space="preserve">Rent benchmarks reflect the current market and say how recent they are.</t>
  </si>
  <si>
    <t xml:space="preserve">lib/modules/leaseBenchmark.ts:122-153</t>
  </si>
  <si>
    <t xml:space="preserve">Prior backlog D-03</t>
  </si>
  <si>
    <t xml:space="preserve">F-15</t>
  </si>
  <si>
    <t xml:space="preserve">The Site Fit 'accessibility' pillar is always empty.</t>
  </si>
  <si>
    <t xml:space="preserve">No transport layer is loaded, so the 15% accessibility pillar is null for every site.</t>
  </si>
  <si>
    <t xml:space="preserve">Load OSM transport features (jeepney/bus stops, rail stations, major roads) per region and score distance/density to them.</t>
  </si>
  <si>
    <t xml:space="preserve">Site Fit reflects how easy a site is to reach — important for Filipino commuter traffic.</t>
  </si>
  <si>
    <t xml:space="preserve">lib/modules/siteFit.ts</t>
  </si>
  <si>
    <t xml:space="preserve">Prior backlog D-01</t>
  </si>
  <si>
    <t xml:space="preserve">F-16</t>
  </si>
  <si>
    <t xml:space="preserve">Trade areas are fixed circles.</t>
  </si>
  <si>
    <t xml:space="preserve">Catchments are circles by format (600–1,200 m); rivers, highways and gated areas are ignored.</t>
  </si>
  <si>
    <t xml:space="preserve">Use travel-time isochrones (self-hosted OSRM/Valhalla or an isochrone API), cached per site.</t>
  </si>
  <si>
    <t xml:space="preserve">Catchments match how customers actually reach the site.</t>
  </si>
  <si>
    <t xml:space="preserve">lib/modules/territoryMath.ts</t>
  </si>
  <si>
    <t xml:space="preserve">L</t>
  </si>
  <si>
    <t xml:space="preserve">Prior backlog D-02</t>
  </si>
  <si>
    <t xml:space="preserve">F-17</t>
  </si>
  <si>
    <t xml:space="preserve">Known NCR zonal gaps (San Juan missing, Valenzuela barangay grain).</t>
  </si>
  <si>
    <t xml:space="preserve">The BIR workbooks for those RDOs were never loaded.</t>
  </si>
  <si>
    <t xml:space="preserve">Download the current schedules and load them with npm run db:load-zonal.</t>
  </si>
  <si>
    <t xml:space="preserve">The zonal cross-check works for every NCR city.</t>
  </si>
  <si>
    <t xml:space="preserve">prisma/data/zonal/</t>
  </si>
  <si>
    <t xml:space="preserve">Prior backlog D-04</t>
  </si>
  <si>
    <t xml:space="preserve">F-18</t>
  </si>
  <si>
    <t xml:space="preserve">Google-sourced POIs are recorded as 'manual'; age profiles are modelled from income; old runs keep pre-fix scores.</t>
  </si>
  <si>
    <t xml:space="preserve">PoiSource enum has no 'google'; age_profile is a Projected model; historical runs were never re-run after the fix batches.</t>
  </si>
  <si>
    <t xml:space="preserve">Add 'google' to PoiSource plus a provenance column; load PSA age-sex tables; run a one-off re-run script for historical runs.</t>
  </si>
  <si>
    <t xml:space="preserve">Clean provenance, real age data, and consistent scores across all runs.</t>
  </si>
  <si>
    <t xml:space="preserve">prisma/schema.prisma; prisma/enrichAgeProfiles.ts</t>
  </si>
  <si>
    <t xml:space="preserve">Prior backlog D-05/06/07</t>
  </si>
  <si>
    <t xml:space="preserve">F-19</t>
  </si>
  <si>
    <t xml:space="preserve">Cavite and Batangas are wired in code but have no reference data loaded yet.</t>
  </si>
  <si>
    <t xml:space="preserve">The R-series built the loaders; the owner data loads (boundaries, OSM sweep, PSA population, BIR zonal, lease comps, malls, traffic AADT) have not been run.</t>
  </si>
  <si>
    <t xml:space="preserve">Follow the one-province load order in docs/qa-history/QA_JOURNEY_FINDINGS_CALABARZON.md (boundaries → OSM ingest in a quiet window → demographics → zonal → lease → malls → traffic), then re-run a Cavite and a Batangas intake.</t>
  </si>
  <si>
    <t xml:space="preserve">Provincial sites get real scores instead of 'no data' / Projected fallbacks.</t>
  </si>
  <si>
    <t xml:space="preserve">docs/qa-history/QA_JOURNEY_FINDINGS_CALABARZON.md; prisma/data/*/README.md</t>
  </si>
  <si>
    <t xml:space="preserve">R-series follow-up</t>
  </si>
  <si>
    <t xml:space="preserve">F-20</t>
  </si>
  <si>
    <t xml:space="preserve">White-Space loads every competitor POI and every demographic cell for each site.</t>
  </si>
  <si>
    <t xml:space="preserve">No region/bbox filter on the reads; scoring is an in-memory areas × POIs loop in JavaScript.</t>
  </si>
  <si>
    <t xml:space="preserve">Push the counting into PostGIS (ST_DWithin + GROUP BY area) scoped to the site's region/radius; compute once per run and cache by (run, concept).</t>
  </si>
  <si>
    <t xml:space="preserve">White-Space runs in well under a second and keeps scaling as provinces are added.</t>
  </si>
  <si>
    <t xml:space="preserve">lib/modules/p2p3Modules.ts:381-497</t>
  </si>
  <si>
    <t xml:space="preserve">New audit / Prior A-02</t>
  </si>
  <si>
    <t xml:space="preserve">F-21</t>
  </si>
  <si>
    <t xml:space="preserve">Missing and inefficient database indexes.</t>
  </si>
  <si>
    <t xml:space="preserve">No index on module_result.pipeline_run_id (filtered on every dashboard load and cascade delete); nearest-row lookups ORDER BY ST_Distance (full scan) instead of the KNN &lt;-&gt; operator; duplicate GiST index on demographic_cell.geom; migration_lock.toml missing.</t>
  </si>
  <si>
    <t xml:space="preserve">Add @@index([pipelineRunId]) to ModuleResult; rewrite nearest lookups with ORDER BY geom &lt;-&gt; point; drop the duplicate GiST index; commit migration_lock.toml.</t>
  </si>
  <si>
    <t xml:space="preserve">Faster dashboards and module reads; a clean migration history.</t>
  </si>
  <si>
    <t xml:space="preserve">prisma/schema.prisma:518-534; lib/modules/p2p3Modules.ts:69,189; prisma/migrations/</t>
  </si>
  <si>
    <t xml:space="preserve">F-22</t>
  </si>
  <si>
    <t xml:space="preserve">Reference-data loaders write one row at a time over Neon HTTP.</t>
  </si>
  <si>
    <t xml:space="preserve">Loaders do find-then-write per row (2–3 round trips each), so a province-scale load is very slow.</t>
  </si>
  <si>
    <t xml:space="preserve">Batch INSERT … ON CONFLICT in chunks of about 500 using a script-only client on the direct (pooled) connection.</t>
  </si>
  <si>
    <t xml:space="preserve">Province loads finish in minutes, not hours.</t>
  </si>
  <si>
    <t xml:space="preserve">lib/ingest/loaders.ts:55-63,185-192,216-230</t>
  </si>
  <si>
    <t xml:space="preserve">Prior backlog A-03</t>
  </si>
  <si>
    <t xml:space="preserve">F-23</t>
  </si>
  <si>
    <t xml:space="preserve">/api/brands runs a full ILIKE scan of the POI table per catalog brand on every call.</t>
  </si>
  <si>
    <t xml:space="preserve">No caching; the per-brand scans run one after another.</t>
  </si>
  <si>
    <t xml:space="preserve">Precompute branch counts (materialised view or nightly job) or cache the response.</t>
  </si>
  <si>
    <t xml:space="preserve">Franchise Screening loads instantly.</t>
  </si>
  <si>
    <t xml:space="preserve">app/api/brands/route.ts:21-23</t>
  </si>
  <si>
    <t xml:space="preserve">F-24</t>
  </si>
  <si>
    <t xml:space="preserve">The intake route can leak raw database error text to the browser.</t>
  </si>
  <si>
    <t xml:space="preserve">The 500 response includes err.message; Prisma/Neon messages can contain query and column details.</t>
  </si>
  <si>
    <t xml:space="preserve">Log the full error server-side; return a generic message plus a short reason code.</t>
  </si>
  <si>
    <t xml:space="preserve">No internal details reach the client (passes a basic pen-test check).</t>
  </si>
  <si>
    <t xml:space="preserve">app/api/intake/route.ts:219-220</t>
  </si>
  <si>
    <t xml:space="preserve">F-25</t>
  </si>
  <si>
    <t xml:space="preserve">Nothing limits calls to paid Google APIs.</t>
  </si>
  <si>
    <t xml:space="preserve">Any signed-in user (and registration is open) can call /api/places, /api/geocode and /api/maptiles; lat/lon/types/address inputs have loose bounds.</t>
  </si>
  <si>
    <t xml:space="preserve">Add per-user daily quotas (reuse the DB rate limiter), tighten Zod bounds (PH bounding box, max lengths), and consider invite-only registration.</t>
  </si>
  <si>
    <t xml:space="preserve">Predictable Google API cost; no abuse through the proxy routes.</t>
  </si>
  <si>
    <t xml:space="preserve">app/api/places/route.ts:11-25; app/api/geocode/route.ts:7-13; app/api/maptiles/route.ts:12</t>
  </si>
  <si>
    <t xml:space="preserve">F-26</t>
  </si>
  <si>
    <t xml:space="preserve">Sessions can't be revoked, and role changes don't take effect until the token expires.</t>
  </si>
  <si>
    <t xml:space="preserve">Stateless 8-hour JWTs; logout only clears the cookie; role and franchisor are read from the token, not the database.</t>
  </si>
  <si>
    <t xml:space="preserve">Add token_version (or sessions_valid_after) to app_user; bump it on logout-all, password change and role change; check it in getSession.</t>
  </si>
  <si>
    <t xml:space="preserve">Logging out, changing a password or demoting a user takes effect immediately.</t>
  </si>
  <si>
    <t xml:space="preserve">lib/auth/auth.ts:42-64; app/api/auth/logout/route.ts:6; app/api/auth/password/route.ts:43</t>
  </si>
  <si>
    <t xml:space="preserve">New audit / Prior S-03</t>
  </si>
  <si>
    <t xml:space="preserve">F-27</t>
  </si>
  <si>
    <t xml:space="preserve">The login page ships prefilled with demo credentials on production.</t>
  </si>
  <si>
    <t xml:space="preserve">Default email/password state and a demo hint are hard-coded in the login page, even though demo logins are refused on deployments.</t>
  </si>
  <si>
    <t xml:space="preserve">Render the defaults and the hint only when mock auth is enabled (pass a server flag to the page).</t>
  </si>
  <si>
    <t xml:space="preserve">Production users see a clean login with no dead or sensitive-looking credentials.</t>
  </si>
  <si>
    <t xml:space="preserve">app/(auth)/login/page.tsx:12-13,76</t>
  </si>
  <si>
    <t xml:space="preserve">F-28</t>
  </si>
  <si>
    <t xml:space="preserve">The password-change route has no rate limit.</t>
  </si>
  <si>
    <t xml:space="preserve">A hijacked session could brute-force the current password.</t>
  </si>
  <si>
    <t xml:space="preserve">Apply the existing checkLimit to /api/auth/password.</t>
  </si>
  <si>
    <t xml:space="preserve">Password change is protected like login.</t>
  </si>
  <si>
    <t xml:space="preserve">app/api/auth/password/route.ts:36</t>
  </si>
  <si>
    <t xml:space="preserve">F-29</t>
  </si>
  <si>
    <t xml:space="preserve">Several small hardening gaps.</t>
  </si>
  <si>
    <t xml:space="preserve">Territory Guard has no isUuid guard (malformed ids return 500); authenticated map tiles are sent Cache-Control: public; the login IP limiter trusts x-forwarded-for off Netlify and fails open on DB errors; the user's email is written into brand 'positioning' text.</t>
  </si>
  <si>
    <t xml:space="preserve">Add the isUuid guard; switch tiles to private caching; trust only the platform client-IP header and fail closed; stop writing the email into brand text.</t>
  </si>
  <si>
    <t xml:space="preserve">Clean results on the low-severity pen-test checks.</t>
  </si>
  <si>
    <t xml:space="preserve">app/api/territory-guard/route.ts:33; app/api/maptiles/[z]/[x]/[y]/route.ts:36; lib/auth/rateLimit.ts:37-52; app/api/franchisors/route.ts:103</t>
  </si>
  <si>
    <t xml:space="preserve">F-30</t>
  </si>
  <si>
    <t xml:space="preserve">The CSP still allows inline scripts and there is no central route guard.</t>
  </si>
  <si>
    <t xml:space="preserve">Next 14 bootstrap needs 'unsafe-inline' without nonces; there is no middleware.ts, so every new route must remember its own auth check.</t>
  </si>
  <si>
    <t xml:space="preserve">Add middleware.ts that generates a per-request nonce for a strict CSP and redirects unauthenticated requests for app pages and APIs.</t>
  </si>
  <si>
    <t xml:space="preserve">Stronger XSS protection, and auth that can't be forgotten on a new route.</t>
  </si>
  <si>
    <t xml:space="preserve">next.config.mjs:36</t>
  </si>
  <si>
    <t xml:space="preserve">Prior backlog S-02/S-04</t>
  </si>
  <si>
    <t xml:space="preserve">F-31</t>
  </si>
  <si>
    <t xml:space="preserve">Exposed credentials still need rotating.</t>
  </si>
  <si>
    <t xml:space="preserve">A Google API key was exposed in keys.docx and real account passwords were in an old database dump (repo history since cleaned).</t>
  </si>
  <si>
    <t xml:space="preserve">Rotate the Google key (restrict by API + referrer) and reset the affected passwords; confirm the repo is private.</t>
  </si>
  <si>
    <t xml:space="preserve">No credential that was ever exposed remains valid.</t>
  </si>
  <si>
    <t xml:space="preserve">Owner action (Google Cloud console, Netlify env)</t>
  </si>
  <si>
    <t xml:space="preserve">Prior backlog S-01</t>
  </si>
  <si>
    <t xml:space="preserve">F-32</t>
  </si>
  <si>
    <t xml:space="preserve">There is no navigation on phones.</t>
  </si>
  <si>
    <t xml:space="preserve">Below the md breakpoint the sidebar is hidden; the mobile top bar only has the logo and Logout.</t>
  </si>
  <si>
    <t xml:space="preserve">Add a hamburger drawer (or bottom tab bar) that renders the same SidebarNav items plus Settings.</t>
  </si>
  <si>
    <t xml:space="preserve">Brokers in the field can reach Franchise Screening, New Intake and Settings from a phone.</t>
  </si>
  <si>
    <t xml:space="preserve">app/(app)/layout.tsx:34,59-64</t>
  </si>
  <si>
    <t xml:space="preserve">New audit / Prior U-01</t>
  </si>
  <si>
    <t xml:space="preserve">F-33</t>
  </si>
  <si>
    <t xml:space="preserve">The first-run tour points at menu items that no longer exist.</t>
  </si>
  <si>
    <t xml:space="preserve">Tour steps still target nav-modules and nav-reports and describe removed screens; anchored steps also miss on mobile.</t>
  </si>
  <si>
    <t xml:space="preserve">Rewrite the tour for the current menu (Franchise Screening → New Intake → Site Dashboard → Final Report/PDF); skip or re-anchor steps on mobile.</t>
  </si>
  <si>
    <t xml:space="preserve">New users get an accurate guided tour.</t>
  </si>
  <si>
    <t xml:space="preserve">components/OnboardingTour.tsx:30-58,91-92</t>
  </si>
  <si>
    <t xml:space="preserve">F-34</t>
  </si>
  <si>
    <t xml:space="preserve">Removed pages are still linked or reachable.</t>
  </si>
  <si>
    <t xml:space="preserve">/reports is linked from the dashboard; /explore, /modules and /scorecard still build and load by URL (Scorecard badges also fail contrast: white text on green/amber).</t>
  </si>
  <si>
    <t xml:space="preserve">Decide per page: remove the page and its components (ModulesView, PlacesExplorer, ReportView, PrintButton) with redirects, or keep and fix it. Update the RunDashboard links.</t>
  </si>
  <si>
    <t xml:space="preserve">No dead-end or off-brand screens, and a smaller codebase for handoff.</t>
  </si>
  <si>
    <t xml:space="preserve">components/RunDashboard.tsx:69; app/(app)/{explore,modules,scorecard,reports}/page.tsx; app/(app)/scorecard/page.tsx:19-20</t>
  </si>
  <si>
    <t xml:space="preserve">F-35</t>
  </si>
  <si>
    <t xml:space="preserve">Keyboard and screen-reader users can't use the site tabs properly, and focus is invisible.</t>
  </si>
  <si>
    <t xml:space="preserve">Tabs are plain buttons with no tab roles, aria-selected or arrow keys; there are no focus-visible styles anywhere and .field removes the outline.</t>
  </si>
  <si>
    <t xml:space="preserve">Add role=tablist/tab/tabpanel, aria-selected and arrow-key handling; add focus-visible:ring-2 ring-accent to buttons, nav items and fields.</t>
  </si>
  <si>
    <t xml:space="preserve">WCAG 2.2 AA keyboard and focus compliance.</t>
  </si>
  <si>
    <t xml:space="preserve">components/SiteIntelligenceTabs.tsx:204-217; app/globals.css:52-61</t>
  </si>
  <si>
    <t xml:space="preserve">F-36</t>
  </si>
  <si>
    <t xml:space="preserve">Some inputs and icon buttons have no accessible label.</t>
  </si>
  <si>
    <t xml:space="preserve">Intake outlet/candidate rows rely on placeholders; the location picker search and its ✕ close button have no labels.</t>
  </si>
  <si>
    <t xml:space="preserve">Add visible labels or aria-labels to every input and icon button.</t>
  </si>
  <si>
    <t xml:space="preserve">Forms work with screen readers and are clearer for older users.</t>
  </si>
  <si>
    <t xml:space="preserve">components/SteppedIntakeWizard.tsx:675-702; components/LocationPicker.tsx:131-134</t>
  </si>
  <si>
    <t xml:space="preserve">F-37</t>
  </si>
  <si>
    <t xml:space="preserve">Layouts overflow on small screens.</t>
  </si>
  <si>
    <t xml:space="preserve">Intake rows use a fixed grid-cols-12; the lease comps table is overflow-hidden.</t>
  </si>
  <si>
    <t xml:space="preserve">Use grid-cols-1 sm:grid-cols-12 for the rows; switch the table wrapper to overflow-x-auto.</t>
  </si>
  <si>
    <t xml:space="preserve">The intake and the Lease tab work on phones and small laptops.</t>
  </si>
  <si>
    <t xml:space="preserve">components/SteppedIntakeWizard.tsx:674,699; components/SiteIntelligenceTabs.tsx:510</t>
  </si>
  <si>
    <t xml:space="preserve">F-38</t>
  </si>
  <si>
    <t xml:space="preserve">There are no branded loading, error or not-found screens.</t>
  </si>
  <si>
    <t xml:space="preserve">No loading.tsx / error.tsx / not-found.tsx files exist, so failures show the default Next.js page.</t>
  </si>
  <si>
    <t xml:space="preserve">Add them under app/(app)/ in the GRID theme, with a retry action and plain-language copy.</t>
  </si>
  <si>
    <t xml:space="preserve">Errors are calm, branded and recoverable.</t>
  </si>
  <si>
    <t xml:space="preserve">app/(app)/</t>
  </si>
  <si>
    <t xml:space="preserve">F-39</t>
  </si>
  <si>
    <t xml:space="preserve">Very small text is used widely (9–11px).</t>
  </si>
  <si>
    <t xml:space="preserve">63 uses of text-[9–11px], often in muted grey — hard to read for older users.</t>
  </si>
  <si>
    <t xml:space="preserve">Set a 12px minimum (13–14px for body copy); raise muted-text contrast where it sits on hover surfaces.</t>
  </si>
  <si>
    <t xml:space="preserve">Readable for the older / tech-resistant audience named in the brand guidelines.</t>
  </si>
  <si>
    <t xml:space="preserve">components/SiteIntelligenceTabs.tsx; components/SteppedIntakeWizard.tsx:601</t>
  </si>
  <si>
    <t xml:space="preserve">F-40</t>
  </si>
  <si>
    <t xml:space="preserve">The proxy lease corridor can't be corrected, and the map ring colour can lag the verdict.</t>
  </si>
  <si>
    <t xml:space="preserve">When no corridor matches, the Lease tab says it's a proxy but offers no picker; TerritoryMap computes its own verdict.</t>
  </si>
  <si>
    <t xml:space="preserve">Add a corridor picker (corridorsForRegion + corridors that have comps) that re-benchmarks; pass the blended verdict into TerritoryMap.</t>
  </si>
  <si>
    <t xml:space="preserve">Brokers can fix the corridor in one click, and the map always matches the verdict.</t>
  </si>
  <si>
    <t xml:space="preserve">components/SiteIntelligenceTabs.tsx; components/TerritoryMap.tsx</t>
  </si>
  <si>
    <t xml:space="preserve">Prior backlog U-02/U-03</t>
  </si>
  <si>
    <t xml:space="preserve">F-41</t>
  </si>
  <si>
    <t xml:space="preserve">The UI redesign has not been done yet.</t>
  </si>
  <si>
    <t xml:space="preserve">Branding (palette, fonts, logo) is applied, but hierarchy, spacing and components were never designed as a system.</t>
  </si>
  <si>
    <t xml:space="preserve">Run docs/DESIGN_PROMPT.md in a Claude design session, then implement the resulting tokens and component recipes.</t>
  </si>
  <si>
    <t xml:space="preserve">A cohesive, professional UI where the Proceed / Caution / No-Go call is obvious in under 5 seconds.</t>
  </si>
  <si>
    <t xml:space="preserve">docs/DESIGN_PROMPT.md</t>
  </si>
  <si>
    <t xml:space="preserve">Owner + Dev team</t>
  </si>
  <si>
    <t xml:space="preserve">F-42</t>
  </si>
  <si>
    <t xml:space="preserve">Leftover AI code, config and docs remain after the AI report was removed.</t>
  </si>
  <si>
    <t xml:space="preserve">lib/ai/index.ts still lists 'vectorshift'; analysisCache/mockAnalysis/outputCheck/analysisPrompts are only used by tests; the orchestrator still deletes module='analysis' rows and site/page reads them; the PipelineUsage model remains; .env.example keeps a VectorShift section (with a real-looking pipeline id); generateGrounded writes placeholder aiGeneration rows; UI copy still says 'write-up'.</t>
  </si>
  <si>
    <t xml:space="preserve">Remove the unused lib/ai files and their tests; drop the vectorshift provider option; remove the 'analysis' reads/deletes; drop PipelineUsage/AiGeneration via migration (or mark them reserved); clean .env.example and UI copy; remove VECTORSHIFT_* / ANALYSIS_BACKGROUND / INTERNAL_JOB_SECRET from Netlify.</t>
  </si>
  <si>
    <t xml:space="preserve">A codebase that matches the product, with no dead AI paths for the dev team to puzzle over.</t>
  </si>
  <si>
    <t xml:space="preserve">lib/ai/*; lib/modules/orchestrator.ts:8,113; app/(app)/site/page.tsx:66; prisma/schema.prisma:592-620; .env.example</t>
  </si>
  <si>
    <t xml:space="preserve">F-43</t>
  </si>
  <si>
    <t xml:space="preserve">Critical server modules have no tests.</t>
  </si>
  <si>
    <t xml:space="preserve">Tests cover pure math only: nothing tests orchestrator slicing/resume/failure, p2p3Modules (White-Space scope, fallbacks), territoryGuard, leaseBenchmark zonal resolution, siteFit, poiCache or the loaders; no test checks that summariseSite agrees with the scorecard; no end-to-end journey test.</t>
  </si>
  <si>
    <t xml:space="preserve">Add integration tests against a Neon test branch (or local Postgres + PostGIS in CI); add the verdict-agreement test; add Playwright smoke tests (login → intake → run → site tabs → PDF).</t>
  </si>
  <si>
    <t xml:space="preserve">Regressions are caught before deploy, and the handoff is backed by tests.</t>
  </si>
  <si>
    <t xml:space="preserve">tests/unit; lib/modules/*</t>
  </si>
  <si>
    <t xml:space="preserve">New audit / Prior A-04</t>
  </si>
  <si>
    <t xml:space="preserve">F-44</t>
  </si>
  <si>
    <t xml:space="preserve">Very large components are hard to maintain.</t>
  </si>
  <si>
    <t xml:space="preserve">SiteIntelligenceTabs.tsx (~1,100 lines), SteppedIntakeWizard.tsx (~750), FranchiseScreeningView.tsx (~600).</t>
  </si>
  <si>
    <t xml:space="preserve">Split each tab and wizard step into its own file; move shared tone maps and chips to components/ui.</t>
  </si>
  <si>
    <t xml:space="preserve">Smaller, reviewable files that the dev team can work on in parallel.</t>
  </si>
  <si>
    <t xml:space="preserve">components/SiteIntelligenceTabs.tsx; components/SteppedIntakeWizard.tsx; components/FranchiseScreeningView.tsx</t>
  </si>
  <si>
    <t xml:space="preserve">F-45</t>
  </si>
  <si>
    <t xml:space="preserve">Helpers and colours are duplicated.</t>
  </si>
  <si>
    <t xml:space="preserve">fmtPeso ×2, fmtPhp ×2, three different peso helpers (one prints 'PHP'), VERDICT_COLOR ×2; chart/map hex colours that don't match the tokens (#38a574 vs #3EAF7F).</t>
  </si>
  <si>
    <t xml:space="preserve">Consolidate formatting in lib/util/format.ts; export one palette module (e.g. lib/ui/palette.ts) used by the Tailwind config, charts and maps.</t>
  </si>
  <si>
    <t xml:space="preserve">One definition per helper and colour, and consistent money formatting.</t>
  </si>
  <si>
    <t xml:space="preserve">components/SiteIntelligenceTabs.tsx:133; components/FranchiseScreeningView.tsx:76; lib/modules/siteVerdict.ts:56; components/LeaseDistributionChart.tsx:19-21; lib/geo/mapGeometry.ts:32</t>
  </si>
  <si>
    <t xml:space="preserve">F-46</t>
  </si>
  <si>
    <t xml:space="preserve">Lint suppressions and small inconsistencies.</t>
  </si>
  <si>
    <t xml:space="preserve">Nine eslint-disable react-hooks/exhaustive-deps and one 'as any'; font-mono used outside the brand tokens; Settings uses toLocaleDateString (server timezone); unused ModuleKind enum values.</t>
  </si>
  <si>
    <t xml:space="preserve">Fix the hook dependencies properly; type the PDF element; use the brand font tokens; use the Manila date helper; drop or document the unused enum values.</t>
  </si>
  <si>
    <t xml:space="preserve">A clean lint run and consistent behaviour.</t>
  </si>
  <si>
    <t xml:space="preserve">components/{AnalysisSequence,GapsMap,LocationPicker,SteppedIntakeWizard,TerritoryMap}.tsx; app/(app)/settings/page.tsx:31; prisma/schema.prisma:114-129</t>
  </si>
  <si>
    <t xml:space="preserve">New audit / Prior A-05</t>
  </si>
  <si>
    <t xml:space="preserve">F-47</t>
  </si>
  <si>
    <t xml:space="preserve">Pages read the database directly instead of going through the API/service layer.</t>
  </si>
  <si>
    <t xml:space="preserve">Several server pages query Prisma directly, which goes against the API-first rule for the handoff.</t>
  </si>
  <si>
    <t xml:space="preserve">Create lib/services/{runs,sites,reports}.ts used by both API routes and pages (or have pages call the API).</t>
  </si>
  <si>
    <t xml:space="preserve">One data path per resource that is easier to secure, test and hand over.</t>
  </si>
  <si>
    <t xml:space="preserve">app/(app)/*/page.tsx</t>
  </si>
  <si>
    <t xml:space="preserve">Prior backlog A-01</t>
  </si>
  <si>
    <t xml:space="preserve">F-48</t>
  </si>
  <si>
    <t xml:space="preserve">There is no CI pipeline.</t>
  </si>
  <si>
    <t xml:space="preserve">Typecheck, tests and build only run when someone runs them by hand.</t>
  </si>
  <si>
    <t xml:space="preserve">Add GitHub Actions on every push/PR: npm ci → prisma generate → typecheck → test → build.</t>
  </si>
  <si>
    <t xml:space="preserve">Broken code can't reach main unnoticed.</t>
  </si>
  <si>
    <t xml:space="preserve">.github/workflows/ci.yml (new)</t>
  </si>
  <si>
    <t xml:space="preserve">Prior backlog O-01</t>
  </si>
  <si>
    <t xml:space="preserve">F-49</t>
  </si>
  <si>
    <t xml:space="preserve">Database migrations are applied by hand.</t>
  </si>
  <si>
    <t xml:space="preserve">Several incidents came from forgetting prisma migrate deploy after a deploy.</t>
  </si>
  <si>
    <t xml:space="preserve">Run prisma migrate deploy in the Netlify build (or fail the build when migrations are pending).</t>
  </si>
  <si>
    <t xml:space="preserve">Code and database schema are always in sync after a deploy.</t>
  </si>
  <si>
    <t xml:space="preserve">netlify.toml</t>
  </si>
  <si>
    <t xml:space="preserve">Prior backlog O-02</t>
  </si>
  <si>
    <t xml:space="preserve">F-50</t>
  </si>
  <si>
    <t xml:space="preserve">Local and production share one database, and there's no way to tell which build is live.</t>
  </si>
  <si>
    <t xml:space="preserve">A single Neon database serves every environment; recent fixes looked 'not working' because the deployed build was stale.</t>
  </si>
  <si>
    <t xml:space="preserve">Use Neon branches for dev / preview / production with per-context Netlify env vars; show the build/commit id in the footer or on /settings.</t>
  </si>
  <si>
    <t xml:space="preserve">Safe testing without touching live data, and an easy check of which build is running.</t>
  </si>
  <si>
    <t xml:space="preserve">Neon console; Netlify env contexts</t>
  </si>
  <si>
    <t xml:space="preserve">Prior backlog O-03 + new audit</t>
  </si>
  <si>
    <t xml:space="preserve">F-51</t>
  </si>
  <si>
    <t xml:space="preserve">There is no error monitoring.</t>
  </si>
  <si>
    <t xml:space="preserve">Server errors only appear in Netlify function logs, so issues are found by users.</t>
  </si>
  <si>
    <t xml:space="preserve">Add Sentry (or similar) for server and client, with request ids and reason codes.</t>
  </si>
  <si>
    <t xml:space="preserve">Problems are seen and diagnosed before users report them.</t>
  </si>
  <si>
    <t xml:space="preserve">(new integration)</t>
  </si>
  <si>
    <t xml:space="preserve">Prior backlog O-04</t>
  </si>
  <si>
    <t xml:space="preserve">F-52</t>
  </si>
  <si>
    <t xml:space="preserve">The documentation is out of date for the handoff.</t>
  </si>
  <si>
    <t xml:space="preserve">README, HANDOFF, API_REFERENCE and DATA_DICTIONARY still describe the VectorShift analysis endpoint; the .env.example demo account doesn't match the code; the new Proceed/Caution/No-Go rules aren't documented.</t>
  </si>
  <si>
    <t xml:space="preserve">Update the docs; add a 'How the recommendation is decided' section (siteVerdict rules + scorecard bands) and the regional data-load runbook.</t>
  </si>
  <si>
    <t xml:space="preserve">The dev team can onboard from the docs alone.</t>
  </si>
  <si>
    <t xml:space="preserve">README.md:22,60; docs/HANDOFF.md:42,63,100; docs/API_REFERENCE.md:165-169; docs/DATA_DICTIONARY.md:122; .env.example</t>
  </si>
  <si>
    <t xml:space="preserve">Retired or already-done items from the 23 Sep backlog</t>
  </si>
  <si>
    <t xml:space="preserve">Item</t>
  </si>
  <si>
    <t xml:space="preserve">Why retired / status</t>
  </si>
  <si>
    <t xml:space="preserve">I-01</t>
  </si>
  <si>
    <t xml:space="preserve">AI layer</t>
  </si>
  <si>
    <t xml:space="preserve">VectorShift prompt not updated for the new input</t>
  </si>
  <si>
    <t xml:space="preserve">Retired — AI analysis removed (25 Sep 2026)</t>
  </si>
  <si>
    <t xml:space="preserve">I-02</t>
  </si>
  <si>
    <t xml:space="preserve">Live AI can exceed Netlify's time limit (background function)</t>
  </si>
  <si>
    <t xml:space="preserve">Retired — AI analysis removed; background function deleted</t>
  </si>
  <si>
    <t xml:space="preserve">I-03</t>
  </si>
  <si>
    <t xml:space="preserve">Semantic search (pgvector) not used</t>
  </si>
  <si>
    <t xml:space="preserve">Retired for now — no AI generation; revisit only if AI returns</t>
  </si>
  <si>
    <t xml:space="preserve">I-04</t>
  </si>
  <si>
    <t xml:space="preserve">No admin view of AI usage and cost</t>
  </si>
  <si>
    <t xml:space="preserve">Retired — no paid AI calls remain</t>
  </si>
  <si>
    <t xml:space="preserve">U-04</t>
  </si>
  <si>
    <t xml:space="preserve">User experience</t>
  </si>
  <si>
    <t xml:space="preserve">Stale AI write-up after saving an asking rent</t>
  </si>
  <si>
    <t xml:space="preserve">Retired — the Final Report is now computed live from module data</t>
  </si>
  <si>
    <t xml:space="preserve">R-01 to R-08</t>
  </si>
  <si>
    <t xml:space="preserve">Regional expansion</t>
  </si>
  <si>
    <t xml:space="preserve">Region registry, boundaries, tiled Overpass, demographics, zonal, lease corridors, malls/traffic, regional QA</t>
  </si>
  <si>
    <t xml:space="preserve">Done in code (24 Sep 2026). Data loads carried forward as F-19</t>
  </si>
  <si>
    <t xml:space="preserve">—</t>
  </si>
  <si>
    <t xml:space="preserve">Stability</t>
  </si>
  <si>
    <t xml:space="preserve">Analysis-report 502 'Transactions are not supported in HTTP mode'</t>
  </si>
  <si>
    <t xml:space="preserve">Resolved by removing the AI report; the same query pattern is still in the pipeline → F-01 / F-02</t>
  </si>
  <si>
    <t xml:space="preserve">UX</t>
  </si>
  <si>
    <t xml:space="preserve">React hydration errors #418 / #423</t>
  </si>
  <si>
    <t xml:space="preserve">Resolved — deterministic number and Manila-time formatting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</si>
</sst>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335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C33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C335E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335E"/>
        <bgColor rgb="FF333333"/>
      </patternFill>
    </fill>
    <fill>
      <patternFill patternType="solid">
        <fgColor rgb="FFF3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C33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FE4"/>
          <bgColor rgb="FF000000"/>
        </patternFill>
      </fill>
    </dxf>
    <dxf>
      <fill>
        <patternFill patternType="solid">
          <fgColor rgb="FFF8D7D6"/>
          <bgColor rgb="FF000000"/>
        </patternFill>
      </fill>
    </dxf>
    <dxf>
      <fill>
        <patternFill patternType="solid">
          <fgColor rgb="FFFBEBC8"/>
          <bgColor rgb="FF000000"/>
        </patternFill>
      </fill>
    </dxf>
    <dxf>
      <fill>
        <patternFill>
          <bgColor rgb="FFF8D7D6"/>
        </patternFill>
      </fill>
    </dxf>
    <dxf>
      <fill>
        <patternFill>
          <bgColor rgb="FFFBEBC8"/>
        </patternFill>
      </fill>
    </dxf>
    <dxf>
      <fill>
        <patternFill>
          <bgColor rgb="FFDCEFE4"/>
        </patternFill>
      </fill>
    </dxf>
    <dxf>
      <font>
        <name val="Arial"/>
        <charset val="1"/>
        <family val="0"/>
        <strike val="1"/>
        <color rgb="FF88888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BEBC8"/>
      <rgbColor rgb="FFF3F5F9"/>
      <rgbColor rgb="FF660066"/>
      <rgbColor rgb="FFFF8080"/>
      <rgbColor rgb="FF0066CC"/>
      <rgbColor rgb="FFD2D2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E4"/>
      <rgbColor rgb="FFFFFF99"/>
      <rgbColor rgb="FF99CCFF"/>
      <rgbColor rgb="FFFF99CC"/>
      <rgbColor rgb="FFCC99FF"/>
      <rgbColor rgb="FFF8D7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C33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1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true" outlineLevel="0" collapsed="false">
      <c r="A6" s="6" t="s">
        <v>9</v>
      </c>
      <c r="B6" s="7" t="n">
        <f aca="false">COUNTIFS('Audit Findings'!$B$5:$B$56,$A6,'Audit Findings'!$C$5:$C$56,"High")</f>
        <v>4</v>
      </c>
      <c r="C6" s="7" t="n">
        <f aca="false">COUNTIFS('Audit Findings'!$B$5:$B$56,$A6,'Audit Findings'!$C$5:$C$56,"Medium")</f>
        <v>2</v>
      </c>
      <c r="D6" s="7" t="n">
        <f aca="false">COUNTIFS('Audit Findings'!$B$5:$B$56,$A6,'Audit Findings'!$C$5:$C$56,"Low")</f>
        <v>0</v>
      </c>
      <c r="E6" s="7" t="n">
        <f aca="false">SUM(B6:D6)</f>
        <v>6</v>
      </c>
      <c r="F6" s="7" t="n">
        <f aca="false">COUNTIFS('Audit Findings'!$B$5:$B$56,$A6,'Audit Findings'!$M$5:$M$56,"Done")</f>
        <v>4</v>
      </c>
    </row>
    <row r="7" customFormat="false" ht="15" hidden="false" customHeight="true" outlineLevel="0" collapsed="false">
      <c r="A7" s="6" t="s">
        <v>10</v>
      </c>
      <c r="B7" s="7" t="n">
        <f aca="false">COUNTIFS('Audit Findings'!$B$5:$B$56,$A7,'Audit Findings'!$C$5:$C$56,"High")</f>
        <v>3</v>
      </c>
      <c r="C7" s="7" t="n">
        <f aca="false">COUNTIFS('Audit Findings'!$B$5:$B$56,$A7,'Audit Findings'!$C$5:$C$56,"Medium")</f>
        <v>7</v>
      </c>
      <c r="D7" s="7" t="n">
        <f aca="false">COUNTIFS('Audit Findings'!$B$5:$B$56,$A7,'Audit Findings'!$C$5:$C$56,"Low")</f>
        <v>3</v>
      </c>
      <c r="E7" s="7" t="n">
        <f aca="false">SUM(B7:D7)</f>
        <v>13</v>
      </c>
      <c r="F7" s="7" t="n">
        <f aca="false">COUNTIFS('Audit Findings'!$B$5:$B$56,$A7,'Audit Findings'!$M$5:$M$56,"Done")</f>
        <v>1</v>
      </c>
    </row>
    <row r="8" customFormat="false" ht="15" hidden="false" customHeight="true" outlineLevel="0" collapsed="false">
      <c r="A8" s="6" t="s">
        <v>11</v>
      </c>
      <c r="B8" s="7" t="n">
        <f aca="false">COUNTIFS('Audit Findings'!$B$5:$B$56,$A8,'Audit Findings'!$C$5:$C$56,"High")</f>
        <v>1</v>
      </c>
      <c r="C8" s="7" t="n">
        <f aca="false">COUNTIFS('Audit Findings'!$B$5:$B$56,$A8,'Audit Findings'!$C$5:$C$56,"Medium")</f>
        <v>2</v>
      </c>
      <c r="D8" s="7" t="n">
        <f aca="false">COUNTIFS('Audit Findings'!$B$5:$B$56,$A8,'Audit Findings'!$C$5:$C$56,"Low")</f>
        <v>1</v>
      </c>
      <c r="E8" s="7" t="n">
        <f aca="false">SUM(B8:D8)</f>
        <v>4</v>
      </c>
      <c r="F8" s="7" t="n">
        <f aca="false">COUNTIFS('Audit Findings'!$B$5:$B$56,$A8,'Audit Findings'!$M$5:$M$56,"Done")</f>
        <v>0</v>
      </c>
    </row>
    <row r="9" customFormat="false" ht="15" hidden="false" customHeight="true" outlineLevel="0" collapsed="false">
      <c r="A9" s="6" t="s">
        <v>12</v>
      </c>
      <c r="B9" s="7" t="n">
        <f aca="false">COUNTIFS('Audit Findings'!$B$5:$B$56,$A9,'Audit Findings'!$C$5:$C$56,"High")</f>
        <v>1</v>
      </c>
      <c r="C9" s="7" t="n">
        <f aca="false">COUNTIFS('Audit Findings'!$B$5:$B$56,$A9,'Audit Findings'!$C$5:$C$56,"Medium")</f>
        <v>6</v>
      </c>
      <c r="D9" s="7" t="n">
        <f aca="false">COUNTIFS('Audit Findings'!$B$5:$B$56,$A9,'Audit Findings'!$C$5:$C$56,"Low")</f>
        <v>1</v>
      </c>
      <c r="E9" s="7" t="n">
        <f aca="false">SUM(B9:D9)</f>
        <v>8</v>
      </c>
      <c r="F9" s="7" t="n">
        <f aca="false">COUNTIFS('Audit Findings'!$B$5:$B$56,$A9,'Audit Findings'!$M$5:$M$56,"Done")</f>
        <v>0</v>
      </c>
    </row>
    <row r="10" customFormat="false" ht="15" hidden="false" customHeight="true" outlineLevel="0" collapsed="false">
      <c r="A10" s="6" t="s">
        <v>13</v>
      </c>
      <c r="B10" s="7" t="n">
        <f aca="false">COUNTIFS('Audit Findings'!$B$5:$B$56,$A10,'Audit Findings'!$C$5:$C$56,"High")</f>
        <v>2</v>
      </c>
      <c r="C10" s="7" t="n">
        <f aca="false">COUNTIFS('Audit Findings'!$B$5:$B$56,$A10,'Audit Findings'!$C$5:$C$56,"Medium")</f>
        <v>8</v>
      </c>
      <c r="D10" s="7" t="n">
        <f aca="false">COUNTIFS('Audit Findings'!$B$5:$B$56,$A10,'Audit Findings'!$C$5:$C$56,"Low")</f>
        <v>0</v>
      </c>
      <c r="E10" s="7" t="n">
        <f aca="false">SUM(B10:D10)</f>
        <v>10</v>
      </c>
      <c r="F10" s="7" t="n">
        <f aca="false">COUNTIFS('Audit Findings'!$B$5:$B$56,$A10,'Audit Findings'!$M$5:$M$56,"Done")</f>
        <v>2</v>
      </c>
    </row>
    <row r="11" customFormat="false" ht="15" hidden="false" customHeight="true" outlineLevel="0" collapsed="false">
      <c r="A11" s="6" t="s">
        <v>14</v>
      </c>
      <c r="B11" s="7" t="n">
        <f aca="false">COUNTIFS('Audit Findings'!$B$5:$B$56,$A11,'Audit Findings'!$C$5:$C$56,"High")</f>
        <v>0</v>
      </c>
      <c r="C11" s="7" t="n">
        <f aca="false">COUNTIFS('Audit Findings'!$B$5:$B$56,$A11,'Audit Findings'!$C$5:$C$56,"Medium")</f>
        <v>3</v>
      </c>
      <c r="D11" s="7" t="n">
        <f aca="false">COUNTIFS('Audit Findings'!$B$5:$B$56,$A11,'Audit Findings'!$C$5:$C$56,"Low")</f>
        <v>3</v>
      </c>
      <c r="E11" s="7" t="n">
        <f aca="false">SUM(B11:D11)</f>
        <v>6</v>
      </c>
      <c r="F11" s="7" t="n">
        <f aca="false">COUNTIFS('Audit Findings'!$B$5:$B$56,$A11,'Audit Findings'!$M$5:$M$56,"Done")</f>
        <v>0</v>
      </c>
    </row>
    <row r="12" customFormat="false" ht="15" hidden="false" customHeight="true" outlineLevel="0" collapsed="false">
      <c r="A12" s="6" t="s">
        <v>15</v>
      </c>
      <c r="B12" s="7" t="n">
        <f aca="false">COUNTIFS('Audit Findings'!$B$5:$B$56,$A12,'Audit Findings'!$C$5:$C$56,"High")</f>
        <v>3</v>
      </c>
      <c r="C12" s="7" t="n">
        <f aca="false">COUNTIFS('Audit Findings'!$B$5:$B$56,$A12,'Audit Findings'!$C$5:$C$56,"Medium")</f>
        <v>2</v>
      </c>
      <c r="D12" s="7" t="n">
        <f aca="false">COUNTIFS('Audit Findings'!$B$5:$B$56,$A12,'Audit Findings'!$C$5:$C$56,"Low")</f>
        <v>0</v>
      </c>
      <c r="E12" s="7" t="n">
        <f aca="false">SUM(B12:D12)</f>
        <v>5</v>
      </c>
      <c r="F12" s="7" t="n">
        <f aca="false">COUNTIFS('Audit Findings'!$B$5:$B$56,$A12,'Audit Findings'!$M$5:$M$56,"Done")</f>
        <v>3</v>
      </c>
    </row>
    <row r="13" customFormat="false" ht="15" hidden="false" customHeight="true" outlineLevel="0" collapsed="false">
      <c r="A13" s="8" t="s">
        <v>7</v>
      </c>
      <c r="B13" s="9" t="n">
        <f aca="false">SUM(B6:B12)</f>
        <v>14</v>
      </c>
      <c r="C13" s="9" t="n">
        <f aca="false">SUM(C6:C12)</f>
        <v>30</v>
      </c>
      <c r="D13" s="9" t="n">
        <f aca="false">SUM(D6:D12)</f>
        <v>8</v>
      </c>
      <c r="E13" s="9" t="n">
        <f aca="false">SUM(E6:E12)</f>
        <v>52</v>
      </c>
      <c r="F13" s="9" t="n">
        <f aca="false">SUM(F6:F12)</f>
        <v>10</v>
      </c>
    </row>
    <row r="15" customFormat="false" ht="15" hidden="false" customHeight="true" outlineLevel="0" collapsed="false">
      <c r="A15" s="4" t="s">
        <v>16</v>
      </c>
    </row>
    <row r="16" customFormat="false" ht="15" hidden="false" customHeight="true" outlineLevel="0" collapsed="false">
      <c r="A16" s="10" t="s">
        <v>17</v>
      </c>
    </row>
    <row r="17" customFormat="false" ht="15" hidden="false" customHeight="true" outlineLevel="0" collapsed="false">
      <c r="A17" s="10" t="s">
        <v>18</v>
      </c>
    </row>
    <row r="18" customFormat="false" ht="15" hidden="false" customHeight="true" outlineLevel="0" collapsed="false">
      <c r="A18" s="10" t="s">
        <v>19</v>
      </c>
    </row>
    <row r="19" customFormat="false" ht="15" hidden="false" customHeight="true" outlineLevel="0" collapsed="false">
      <c r="A19" s="10" t="s">
        <v>20</v>
      </c>
    </row>
    <row r="20" customFormat="false" ht="15" hidden="false" customHeight="true" outlineLevel="0" collapsed="false">
      <c r="A20" s="10" t="s">
        <v>21</v>
      </c>
    </row>
    <row r="21" customFormat="false" ht="15" hidden="false" customHeight="true" outlineLevel="0" collapsed="false">
      <c r="A21" s="10" t="s">
        <v>22</v>
      </c>
    </row>
    <row r="22" customFormat="false" ht="15" hidden="false" customHeight="true" outlineLevel="0" collapsed="false">
      <c r="A22" s="10" t="s">
        <v>23</v>
      </c>
    </row>
    <row r="23" customFormat="false" ht="15" hidden="false" customHeight="true" outlineLevel="0" collapsed="false">
      <c r="A23" s="10" t="s">
        <v>24</v>
      </c>
    </row>
    <row r="24" customFormat="false" ht="15" hidden="false" customHeight="true" outlineLevel="0" collapsed="false">
      <c r="A24" s="10" t="s">
        <v>25</v>
      </c>
    </row>
    <row r="25" customFormat="false" ht="15" hidden="false" customHeight="true" outlineLevel="0" collapsed="false">
      <c r="A25" s="10" t="s">
        <v>26</v>
      </c>
    </row>
    <row r="27" customFormat="false" ht="15" hidden="false" customHeight="true" outlineLevel="0" collapsed="false">
      <c r="A27" s="4" t="s">
        <v>27</v>
      </c>
    </row>
    <row r="28" customFormat="false" ht="15" hidden="false" customHeight="true" outlineLevel="0" collapsed="false">
      <c r="A28" s="10" t="s">
        <v>28</v>
      </c>
    </row>
    <row r="29" customFormat="false" ht="15" hidden="false" customHeight="true" outlineLevel="0" collapsed="false">
      <c r="A29" s="10" t="s">
        <v>29</v>
      </c>
    </row>
    <row r="30" customFormat="false" ht="15" hidden="false" customHeight="true" outlineLevel="0" collapsed="false">
      <c r="A30" s="10" t="s">
        <v>30</v>
      </c>
    </row>
    <row r="31" customFormat="false" ht="15" hidden="false" customHeight="true" outlineLevel="0" collapsed="false">
      <c r="A31" s="10" t="s">
        <v>31</v>
      </c>
    </row>
    <row r="32" customFormat="false" ht="15" hidden="false" customHeight="true" outlineLevel="0" collapsed="false">
      <c r="A32" s="10" t="s">
        <v>32</v>
      </c>
    </row>
    <row r="33" customFormat="false" ht="15" hidden="false" customHeight="true" outlineLevel="0" collapsed="false">
      <c r="A33" s="10" t="s">
        <v>33</v>
      </c>
    </row>
    <row r="34" customFormat="false" ht="15" hidden="false" customHeight="true" outlineLevel="0" collapsed="false">
      <c r="A34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42"/>
    <col collapsed="false" customWidth="true" hidden="false" outlineLevel="0" max="6" min="6" style="1" width="48"/>
    <col collapsed="false" customWidth="true" hidden="false" outlineLevel="0" max="7" min="7" style="1" width="52"/>
    <col collapsed="false" customWidth="true" hidden="false" outlineLevel="0" max="8" min="8" style="1" width="40"/>
    <col collapsed="false" customWidth="true" hidden="false" outlineLevel="0" max="9" min="9" style="1" width="38"/>
    <col collapsed="false" customWidth="true" hidden="false" outlineLevel="0" max="10" min="10" style="1" width="8"/>
    <col collapsed="false" customWidth="true" hidden="false" outlineLevel="0" max="11" min="11" style="1" width="14"/>
    <col collapsed="false" customWidth="true" hidden="false" outlineLevel="0" max="12" min="12" style="1" width="18"/>
    <col collapsed="false" customWidth="true" hidden="false" outlineLevel="0" max="13" min="13" style="1" width="12"/>
  </cols>
  <sheetData>
    <row r="1" customFormat="false" ht="17.25" hidden="false" customHeight="true" outlineLevel="0" collapsed="false">
      <c r="A1" s="11" t="s">
        <v>35</v>
      </c>
    </row>
    <row r="2" customFormat="false" ht="15" hidden="false" customHeight="true" outlineLevel="0" collapsed="false">
      <c r="A2" s="12" t="s">
        <v>36</v>
      </c>
    </row>
    <row r="4" customFormat="false" ht="15" hidden="false" customHeight="true" outlineLevel="0" collapsed="false">
      <c r="A4" s="13" t="s">
        <v>37</v>
      </c>
      <c r="B4" s="13" t="s">
        <v>3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3" t="s">
        <v>45</v>
      </c>
      <c r="K4" s="13" t="s">
        <v>46</v>
      </c>
      <c r="L4" s="13" t="s">
        <v>47</v>
      </c>
      <c r="M4" s="13" t="s">
        <v>48</v>
      </c>
    </row>
    <row r="5" customFormat="false" ht="124.5" hidden="false" customHeight="true" outlineLevel="0" collapsed="false">
      <c r="A5" s="14" t="s">
        <v>49</v>
      </c>
      <c r="B5" s="15" t="s">
        <v>9</v>
      </c>
      <c r="C5" s="14" t="s">
        <v>4</v>
      </c>
      <c r="D5" s="14" t="str">
        <f aca="false">IF(C5="High","P1",IF(C5="Medium","P2","P3"))</f>
        <v>P1</v>
      </c>
      <c r="E5" s="15" t="s">
        <v>50</v>
      </c>
      <c r="F5" s="15" t="s">
        <v>51</v>
      </c>
      <c r="G5" s="15" t="s">
        <v>52</v>
      </c>
      <c r="H5" s="15" t="s">
        <v>53</v>
      </c>
      <c r="I5" s="15" t="s">
        <v>54</v>
      </c>
      <c r="J5" s="14" t="s">
        <v>55</v>
      </c>
      <c r="K5" s="15" t="s">
        <v>56</v>
      </c>
      <c r="L5" s="15" t="s">
        <v>57</v>
      </c>
      <c r="M5" s="14" t="s">
        <v>8</v>
      </c>
    </row>
    <row r="6" customFormat="false" ht="124.5" hidden="false" customHeight="true" outlineLevel="0" collapsed="false">
      <c r="A6" s="14" t="s">
        <v>58</v>
      </c>
      <c r="B6" s="15" t="s">
        <v>9</v>
      </c>
      <c r="C6" s="14" t="s">
        <v>4</v>
      </c>
      <c r="D6" s="14" t="str">
        <f aca="false">IF(C6="High","P1",IF(C6="Medium","P2","P3"))</f>
        <v>P1</v>
      </c>
      <c r="E6" s="15" t="s">
        <v>59</v>
      </c>
      <c r="F6" s="15" t="s">
        <v>60</v>
      </c>
      <c r="G6" s="15" t="s">
        <v>61</v>
      </c>
      <c r="H6" s="15" t="s">
        <v>62</v>
      </c>
      <c r="I6" s="15" t="s">
        <v>63</v>
      </c>
      <c r="J6" s="14" t="s">
        <v>55</v>
      </c>
      <c r="K6" s="15" t="s">
        <v>56</v>
      </c>
      <c r="L6" s="15" t="s">
        <v>57</v>
      </c>
      <c r="M6" s="14" t="s">
        <v>8</v>
      </c>
    </row>
    <row r="7" customFormat="false" ht="124.5" hidden="false" customHeight="true" outlineLevel="0" collapsed="false">
      <c r="A7" s="14" t="s">
        <v>64</v>
      </c>
      <c r="B7" s="15" t="s">
        <v>9</v>
      </c>
      <c r="C7" s="14" t="s">
        <v>4</v>
      </c>
      <c r="D7" s="14" t="str">
        <f aca="false">IF(C7="High","P1",IF(C7="Medium","P2","P3"))</f>
        <v>P1</v>
      </c>
      <c r="E7" s="15" t="s">
        <v>65</v>
      </c>
      <c r="F7" s="15" t="s">
        <v>66</v>
      </c>
      <c r="G7" s="15" t="s">
        <v>67</v>
      </c>
      <c r="H7" s="15" t="s">
        <v>68</v>
      </c>
      <c r="I7" s="15" t="s">
        <v>69</v>
      </c>
      <c r="J7" s="14" t="s">
        <v>55</v>
      </c>
      <c r="K7" s="15" t="s">
        <v>56</v>
      </c>
      <c r="L7" s="15" t="s">
        <v>57</v>
      </c>
      <c r="M7" s="14" t="s">
        <v>8</v>
      </c>
    </row>
    <row r="8" customFormat="false" ht="124.5" hidden="false" customHeight="true" outlineLevel="0" collapsed="false">
      <c r="A8" s="14" t="s">
        <v>70</v>
      </c>
      <c r="B8" s="15" t="s">
        <v>9</v>
      </c>
      <c r="C8" s="14" t="s">
        <v>4</v>
      </c>
      <c r="D8" s="14" t="str">
        <f aca="false">IF(C8="High","P1",IF(C8="Medium","P2","P3"))</f>
        <v>P1</v>
      </c>
      <c r="E8" s="15" t="s">
        <v>71</v>
      </c>
      <c r="F8" s="15" t="s">
        <v>72</v>
      </c>
      <c r="G8" s="15" t="s">
        <v>73</v>
      </c>
      <c r="H8" s="15" t="s">
        <v>74</v>
      </c>
      <c r="I8" s="15" t="s">
        <v>75</v>
      </c>
      <c r="J8" s="14" t="s">
        <v>76</v>
      </c>
      <c r="K8" s="15" t="s">
        <v>56</v>
      </c>
      <c r="L8" s="15" t="s">
        <v>57</v>
      </c>
      <c r="M8" s="14" t="s">
        <v>8</v>
      </c>
    </row>
    <row r="9" customFormat="false" ht="124.5" hidden="false" customHeight="true" outlineLevel="0" collapsed="false">
      <c r="A9" s="14" t="s">
        <v>77</v>
      </c>
      <c r="B9" s="15" t="s">
        <v>9</v>
      </c>
      <c r="C9" s="14" t="s">
        <v>5</v>
      </c>
      <c r="D9" s="14" t="str">
        <f aca="false">IF(C9="High","P1",IF(C9="Medium","P2","P3"))</f>
        <v>P2</v>
      </c>
      <c r="E9" s="15" t="s">
        <v>78</v>
      </c>
      <c r="F9" s="15" t="s">
        <v>79</v>
      </c>
      <c r="G9" s="15" t="s">
        <v>80</v>
      </c>
      <c r="H9" s="15" t="s">
        <v>81</v>
      </c>
      <c r="I9" s="15" t="s">
        <v>82</v>
      </c>
      <c r="J9" s="14" t="s">
        <v>76</v>
      </c>
      <c r="K9" s="15" t="s">
        <v>56</v>
      </c>
      <c r="L9" s="15" t="s">
        <v>57</v>
      </c>
      <c r="M9" s="14" t="s">
        <v>83</v>
      </c>
    </row>
    <row r="10" customFormat="false" ht="124.5" hidden="false" customHeight="true" outlineLevel="0" collapsed="false">
      <c r="A10" s="14" t="s">
        <v>84</v>
      </c>
      <c r="B10" s="15" t="s">
        <v>9</v>
      </c>
      <c r="C10" s="14" t="s">
        <v>5</v>
      </c>
      <c r="D10" s="14" t="str">
        <f aca="false">IF(C10="High","P1",IF(C10="Medium","P2","P3"))</f>
        <v>P2</v>
      </c>
      <c r="E10" s="15" t="s">
        <v>85</v>
      </c>
      <c r="F10" s="15" t="s">
        <v>86</v>
      </c>
      <c r="G10" s="15" t="s">
        <v>87</v>
      </c>
      <c r="H10" s="15" t="s">
        <v>88</v>
      </c>
      <c r="I10" s="15" t="s">
        <v>89</v>
      </c>
      <c r="J10" s="14" t="s">
        <v>76</v>
      </c>
      <c r="K10" s="15" t="s">
        <v>56</v>
      </c>
      <c r="L10" s="15" t="s">
        <v>57</v>
      </c>
      <c r="M10" s="14" t="s">
        <v>83</v>
      </c>
    </row>
    <row r="11" customFormat="false" ht="124.5" hidden="false" customHeight="true" outlineLevel="0" collapsed="false">
      <c r="A11" s="14" t="s">
        <v>90</v>
      </c>
      <c r="B11" s="15" t="s">
        <v>10</v>
      </c>
      <c r="C11" s="14" t="s">
        <v>4</v>
      </c>
      <c r="D11" s="14" t="str">
        <f aca="false">IF(C11="High","P1",IF(C11="Medium","P2","P3"))</f>
        <v>P1</v>
      </c>
      <c r="E11" s="15" t="s">
        <v>91</v>
      </c>
      <c r="F11" s="15" t="s">
        <v>92</v>
      </c>
      <c r="G11" s="15" t="s">
        <v>93</v>
      </c>
      <c r="H11" s="15" t="s">
        <v>94</v>
      </c>
      <c r="I11" s="15" t="s">
        <v>95</v>
      </c>
      <c r="J11" s="14" t="s">
        <v>76</v>
      </c>
      <c r="K11" s="15" t="s">
        <v>56</v>
      </c>
      <c r="L11" s="15" t="s">
        <v>57</v>
      </c>
      <c r="M11" s="14" t="s">
        <v>8</v>
      </c>
    </row>
    <row r="12" customFormat="false" ht="124.5" hidden="false" customHeight="true" outlineLevel="0" collapsed="false">
      <c r="A12" s="14" t="s">
        <v>96</v>
      </c>
      <c r="B12" s="15" t="s">
        <v>10</v>
      </c>
      <c r="C12" s="14" t="s">
        <v>4</v>
      </c>
      <c r="D12" s="14" t="str">
        <f aca="false">IF(C12="High","P1",IF(C12="Medium","P2","P3"))</f>
        <v>P1</v>
      </c>
      <c r="E12" s="15" t="s">
        <v>97</v>
      </c>
      <c r="F12" s="15" t="s">
        <v>98</v>
      </c>
      <c r="G12" s="15" t="s">
        <v>99</v>
      </c>
      <c r="H12" s="15" t="s">
        <v>100</v>
      </c>
      <c r="I12" s="15" t="s">
        <v>101</v>
      </c>
      <c r="J12" s="14" t="s">
        <v>76</v>
      </c>
      <c r="K12" s="15" t="s">
        <v>56</v>
      </c>
      <c r="L12" s="15" t="s">
        <v>57</v>
      </c>
      <c r="M12" s="14" t="s">
        <v>83</v>
      </c>
    </row>
    <row r="13" customFormat="false" ht="124.5" hidden="false" customHeight="true" outlineLevel="0" collapsed="false">
      <c r="A13" s="14" t="s">
        <v>102</v>
      </c>
      <c r="B13" s="15" t="s">
        <v>10</v>
      </c>
      <c r="C13" s="14" t="s">
        <v>5</v>
      </c>
      <c r="D13" s="14" t="str">
        <f aca="false">IF(C13="High","P1",IF(C13="Medium","P2","P3"))</f>
        <v>P2</v>
      </c>
      <c r="E13" s="15" t="s">
        <v>103</v>
      </c>
      <c r="F13" s="15" t="s">
        <v>104</v>
      </c>
      <c r="G13" s="15" t="s">
        <v>105</v>
      </c>
      <c r="H13" s="15" t="s">
        <v>106</v>
      </c>
      <c r="I13" s="15" t="s">
        <v>107</v>
      </c>
      <c r="J13" s="14" t="s">
        <v>76</v>
      </c>
      <c r="K13" s="15" t="s">
        <v>56</v>
      </c>
      <c r="L13" s="15" t="s">
        <v>57</v>
      </c>
      <c r="M13" s="14" t="s">
        <v>83</v>
      </c>
    </row>
    <row r="14" customFormat="false" ht="124.5" hidden="false" customHeight="true" outlineLevel="0" collapsed="false">
      <c r="A14" s="14" t="s">
        <v>108</v>
      </c>
      <c r="B14" s="15" t="s">
        <v>10</v>
      </c>
      <c r="C14" s="14" t="s">
        <v>5</v>
      </c>
      <c r="D14" s="14" t="str">
        <f aca="false">IF(C14="High","P1",IF(C14="Medium","P2","P3"))</f>
        <v>P2</v>
      </c>
      <c r="E14" s="15" t="s">
        <v>109</v>
      </c>
      <c r="F14" s="15" t="s">
        <v>110</v>
      </c>
      <c r="G14" s="15" t="s">
        <v>111</v>
      </c>
      <c r="H14" s="15" t="s">
        <v>112</v>
      </c>
      <c r="I14" s="15" t="s">
        <v>113</v>
      </c>
      <c r="J14" s="14" t="s">
        <v>76</v>
      </c>
      <c r="K14" s="15" t="s">
        <v>56</v>
      </c>
      <c r="L14" s="15" t="s">
        <v>57</v>
      </c>
      <c r="M14" s="14" t="s">
        <v>83</v>
      </c>
    </row>
    <row r="15" customFormat="false" ht="124.5" hidden="false" customHeight="true" outlineLevel="0" collapsed="false">
      <c r="A15" s="14" t="s">
        <v>114</v>
      </c>
      <c r="B15" s="15" t="s">
        <v>10</v>
      </c>
      <c r="C15" s="14" t="s">
        <v>5</v>
      </c>
      <c r="D15" s="14" t="str">
        <f aca="false">IF(C15="High","P1",IF(C15="Medium","P2","P3"))</f>
        <v>P2</v>
      </c>
      <c r="E15" s="15" t="s">
        <v>115</v>
      </c>
      <c r="F15" s="15" t="s">
        <v>116</v>
      </c>
      <c r="G15" s="15" t="s">
        <v>117</v>
      </c>
      <c r="H15" s="15" t="s">
        <v>118</v>
      </c>
      <c r="I15" s="15" t="s">
        <v>119</v>
      </c>
      <c r="J15" s="14" t="s">
        <v>55</v>
      </c>
      <c r="K15" s="15" t="s">
        <v>56</v>
      </c>
      <c r="L15" s="15" t="s">
        <v>57</v>
      </c>
      <c r="M15" s="14" t="s">
        <v>83</v>
      </c>
    </row>
    <row r="16" customFormat="false" ht="124.5" hidden="false" customHeight="true" outlineLevel="0" collapsed="false">
      <c r="A16" s="14" t="s">
        <v>120</v>
      </c>
      <c r="B16" s="15" t="s">
        <v>10</v>
      </c>
      <c r="C16" s="14" t="s">
        <v>5</v>
      </c>
      <c r="D16" s="14" t="str">
        <f aca="false">IF(C16="High","P1",IF(C16="Medium","P2","P3"))</f>
        <v>P2</v>
      </c>
      <c r="E16" s="15" t="s">
        <v>121</v>
      </c>
      <c r="F16" s="15" t="s">
        <v>122</v>
      </c>
      <c r="G16" s="15" t="s">
        <v>123</v>
      </c>
      <c r="H16" s="15" t="s">
        <v>124</v>
      </c>
      <c r="I16" s="15" t="s">
        <v>125</v>
      </c>
      <c r="J16" s="14" t="s">
        <v>76</v>
      </c>
      <c r="K16" s="15" t="s">
        <v>56</v>
      </c>
      <c r="L16" s="15" t="s">
        <v>57</v>
      </c>
      <c r="M16" s="14" t="s">
        <v>83</v>
      </c>
    </row>
    <row r="17" customFormat="false" ht="124.5" hidden="false" customHeight="true" outlineLevel="0" collapsed="false">
      <c r="A17" s="14" t="s">
        <v>126</v>
      </c>
      <c r="B17" s="15" t="s">
        <v>10</v>
      </c>
      <c r="C17" s="14" t="s">
        <v>5</v>
      </c>
      <c r="D17" s="14" t="str">
        <f aca="false">IF(C17="High","P1",IF(C17="Medium","P2","P3"))</f>
        <v>P2</v>
      </c>
      <c r="E17" s="15" t="s">
        <v>127</v>
      </c>
      <c r="F17" s="15" t="s">
        <v>128</v>
      </c>
      <c r="G17" s="15" t="s">
        <v>129</v>
      </c>
      <c r="H17" s="15" t="s">
        <v>130</v>
      </c>
      <c r="I17" s="15" t="s">
        <v>131</v>
      </c>
      <c r="J17" s="14" t="s">
        <v>55</v>
      </c>
      <c r="K17" s="15" t="s">
        <v>56</v>
      </c>
      <c r="L17" s="15" t="s">
        <v>57</v>
      </c>
      <c r="M17" s="14" t="s">
        <v>83</v>
      </c>
    </row>
    <row r="18" customFormat="false" ht="124.5" hidden="false" customHeight="true" outlineLevel="0" collapsed="false">
      <c r="A18" s="14" t="s">
        <v>132</v>
      </c>
      <c r="B18" s="15" t="s">
        <v>10</v>
      </c>
      <c r="C18" s="14" t="s">
        <v>5</v>
      </c>
      <c r="D18" s="14" t="str">
        <f aca="false">IF(C18="High","P1",IF(C18="Medium","P2","P3"))</f>
        <v>P2</v>
      </c>
      <c r="E18" s="15" t="s">
        <v>133</v>
      </c>
      <c r="F18" s="15" t="s">
        <v>134</v>
      </c>
      <c r="G18" s="15" t="s">
        <v>135</v>
      </c>
      <c r="H18" s="15" t="s">
        <v>136</v>
      </c>
      <c r="I18" s="15" t="s">
        <v>137</v>
      </c>
      <c r="J18" s="14" t="s">
        <v>76</v>
      </c>
      <c r="K18" s="15" t="s">
        <v>56</v>
      </c>
      <c r="L18" s="15" t="s">
        <v>138</v>
      </c>
      <c r="M18" s="14" t="s">
        <v>83</v>
      </c>
    </row>
    <row r="19" customFormat="false" ht="124.5" hidden="false" customHeight="true" outlineLevel="0" collapsed="false">
      <c r="A19" s="14" t="s">
        <v>139</v>
      </c>
      <c r="B19" s="15" t="s">
        <v>10</v>
      </c>
      <c r="C19" s="14" t="s">
        <v>5</v>
      </c>
      <c r="D19" s="14" t="str">
        <f aca="false">IF(C19="High","P1",IF(C19="Medium","P2","P3"))</f>
        <v>P2</v>
      </c>
      <c r="E19" s="15" t="s">
        <v>140</v>
      </c>
      <c r="F19" s="15" t="s">
        <v>141</v>
      </c>
      <c r="G19" s="15" t="s">
        <v>142</v>
      </c>
      <c r="H19" s="15" t="s">
        <v>143</v>
      </c>
      <c r="I19" s="15" t="s">
        <v>144</v>
      </c>
      <c r="J19" s="14" t="s">
        <v>76</v>
      </c>
      <c r="K19" s="15" t="s">
        <v>56</v>
      </c>
      <c r="L19" s="15" t="s">
        <v>145</v>
      </c>
      <c r="M19" s="14" t="s">
        <v>83</v>
      </c>
    </row>
    <row r="20" customFormat="false" ht="124.5" hidden="false" customHeight="true" outlineLevel="0" collapsed="false">
      <c r="A20" s="14" t="s">
        <v>146</v>
      </c>
      <c r="B20" s="15" t="s">
        <v>10</v>
      </c>
      <c r="C20" s="14" t="s">
        <v>6</v>
      </c>
      <c r="D20" s="14" t="str">
        <f aca="false">IF(C20="High","P1",IF(C20="Medium","P2","P3"))</f>
        <v>P3</v>
      </c>
      <c r="E20" s="15" t="s">
        <v>147</v>
      </c>
      <c r="F20" s="15" t="s">
        <v>148</v>
      </c>
      <c r="G20" s="15" t="s">
        <v>149</v>
      </c>
      <c r="H20" s="15" t="s">
        <v>150</v>
      </c>
      <c r="I20" s="15" t="s">
        <v>151</v>
      </c>
      <c r="J20" s="14" t="s">
        <v>152</v>
      </c>
      <c r="K20" s="15" t="s">
        <v>56</v>
      </c>
      <c r="L20" s="15" t="s">
        <v>153</v>
      </c>
      <c r="M20" s="14" t="s">
        <v>83</v>
      </c>
    </row>
    <row r="21" customFormat="false" ht="124.5" hidden="false" customHeight="true" outlineLevel="0" collapsed="false">
      <c r="A21" s="14" t="s">
        <v>154</v>
      </c>
      <c r="B21" s="15" t="s">
        <v>10</v>
      </c>
      <c r="C21" s="14" t="s">
        <v>6</v>
      </c>
      <c r="D21" s="14" t="str">
        <f aca="false">IF(C21="High","P1",IF(C21="Medium","P2","P3"))</f>
        <v>P3</v>
      </c>
      <c r="E21" s="15" t="s">
        <v>155</v>
      </c>
      <c r="F21" s="15" t="s">
        <v>156</v>
      </c>
      <c r="G21" s="15" t="s">
        <v>157</v>
      </c>
      <c r="H21" s="15" t="s">
        <v>158</v>
      </c>
      <c r="I21" s="15" t="s">
        <v>159</v>
      </c>
      <c r="J21" s="14" t="s">
        <v>55</v>
      </c>
      <c r="K21" s="15" t="s">
        <v>46</v>
      </c>
      <c r="L21" s="15" t="s">
        <v>160</v>
      </c>
      <c r="M21" s="14" t="s">
        <v>83</v>
      </c>
    </row>
    <row r="22" customFormat="false" ht="124.5" hidden="false" customHeight="true" outlineLevel="0" collapsed="false">
      <c r="A22" s="14" t="s">
        <v>161</v>
      </c>
      <c r="B22" s="15" t="s">
        <v>10</v>
      </c>
      <c r="C22" s="14" t="s">
        <v>6</v>
      </c>
      <c r="D22" s="14" t="str">
        <f aca="false">IF(C22="High","P1",IF(C22="Medium","P2","P3"))</f>
        <v>P3</v>
      </c>
      <c r="E22" s="15" t="s">
        <v>162</v>
      </c>
      <c r="F22" s="15" t="s">
        <v>163</v>
      </c>
      <c r="G22" s="15" t="s">
        <v>164</v>
      </c>
      <c r="H22" s="15" t="s">
        <v>165</v>
      </c>
      <c r="I22" s="15" t="s">
        <v>166</v>
      </c>
      <c r="J22" s="14" t="s">
        <v>76</v>
      </c>
      <c r="K22" s="15" t="s">
        <v>56</v>
      </c>
      <c r="L22" s="15" t="s">
        <v>167</v>
      </c>
      <c r="M22" s="14" t="s">
        <v>83</v>
      </c>
    </row>
    <row r="23" customFormat="false" ht="124.5" hidden="false" customHeight="true" outlineLevel="0" collapsed="false">
      <c r="A23" s="14" t="s">
        <v>168</v>
      </c>
      <c r="B23" s="15" t="s">
        <v>10</v>
      </c>
      <c r="C23" s="14" t="s">
        <v>4</v>
      </c>
      <c r="D23" s="14" t="str">
        <f aca="false">IF(C23="High","P1",IF(C23="Medium","P2","P3"))</f>
        <v>P1</v>
      </c>
      <c r="E23" s="15" t="s">
        <v>169</v>
      </c>
      <c r="F23" s="15" t="s">
        <v>170</v>
      </c>
      <c r="G23" s="15" t="s">
        <v>171</v>
      </c>
      <c r="H23" s="15" t="s">
        <v>172</v>
      </c>
      <c r="I23" s="15" t="s">
        <v>173</v>
      </c>
      <c r="J23" s="14" t="s">
        <v>152</v>
      </c>
      <c r="K23" s="15" t="s">
        <v>46</v>
      </c>
      <c r="L23" s="15" t="s">
        <v>174</v>
      </c>
      <c r="M23" s="14" t="s">
        <v>83</v>
      </c>
    </row>
    <row r="24" customFormat="false" ht="124.5" hidden="false" customHeight="true" outlineLevel="0" collapsed="false">
      <c r="A24" s="14" t="s">
        <v>175</v>
      </c>
      <c r="B24" s="15" t="s">
        <v>11</v>
      </c>
      <c r="C24" s="14" t="s">
        <v>4</v>
      </c>
      <c r="D24" s="14" t="str">
        <f aca="false">IF(C24="High","P1",IF(C24="Medium","P2","P3"))</f>
        <v>P1</v>
      </c>
      <c r="E24" s="15" t="s">
        <v>176</v>
      </c>
      <c r="F24" s="15" t="s">
        <v>177</v>
      </c>
      <c r="G24" s="15" t="s">
        <v>178</v>
      </c>
      <c r="H24" s="15" t="s">
        <v>179</v>
      </c>
      <c r="I24" s="15" t="s">
        <v>180</v>
      </c>
      <c r="J24" s="14" t="s">
        <v>76</v>
      </c>
      <c r="K24" s="15" t="s">
        <v>56</v>
      </c>
      <c r="L24" s="15" t="s">
        <v>181</v>
      </c>
      <c r="M24" s="14" t="s">
        <v>83</v>
      </c>
    </row>
    <row r="25" customFormat="false" ht="124.5" hidden="false" customHeight="true" outlineLevel="0" collapsed="false">
      <c r="A25" s="14" t="s">
        <v>182</v>
      </c>
      <c r="B25" s="15" t="s">
        <v>11</v>
      </c>
      <c r="C25" s="14" t="s">
        <v>5</v>
      </c>
      <c r="D25" s="14" t="str">
        <f aca="false">IF(C25="High","P1",IF(C25="Medium","P2","P3"))</f>
        <v>P2</v>
      </c>
      <c r="E25" s="15" t="s">
        <v>183</v>
      </c>
      <c r="F25" s="15" t="s">
        <v>184</v>
      </c>
      <c r="G25" s="15" t="s">
        <v>185</v>
      </c>
      <c r="H25" s="15" t="s">
        <v>186</v>
      </c>
      <c r="I25" s="15" t="s">
        <v>187</v>
      </c>
      <c r="J25" s="14" t="s">
        <v>55</v>
      </c>
      <c r="K25" s="15" t="s">
        <v>56</v>
      </c>
      <c r="L25" s="15" t="s">
        <v>57</v>
      </c>
      <c r="M25" s="14" t="s">
        <v>83</v>
      </c>
    </row>
    <row r="26" customFormat="false" ht="124.5" hidden="false" customHeight="true" outlineLevel="0" collapsed="false">
      <c r="A26" s="14" t="s">
        <v>188</v>
      </c>
      <c r="B26" s="15" t="s">
        <v>11</v>
      </c>
      <c r="C26" s="14" t="s">
        <v>5</v>
      </c>
      <c r="D26" s="14" t="str">
        <f aca="false">IF(C26="High","P1",IF(C26="Medium","P2","P3"))</f>
        <v>P2</v>
      </c>
      <c r="E26" s="15" t="s">
        <v>189</v>
      </c>
      <c r="F26" s="15" t="s">
        <v>190</v>
      </c>
      <c r="G26" s="15" t="s">
        <v>191</v>
      </c>
      <c r="H26" s="15" t="s">
        <v>192</v>
      </c>
      <c r="I26" s="15" t="s">
        <v>193</v>
      </c>
      <c r="J26" s="14" t="s">
        <v>76</v>
      </c>
      <c r="K26" s="15" t="s">
        <v>56</v>
      </c>
      <c r="L26" s="15" t="s">
        <v>194</v>
      </c>
      <c r="M26" s="14" t="s">
        <v>83</v>
      </c>
    </row>
    <row r="27" customFormat="false" ht="124.5" hidden="false" customHeight="true" outlineLevel="0" collapsed="false">
      <c r="A27" s="14" t="s">
        <v>195</v>
      </c>
      <c r="B27" s="15" t="s">
        <v>11</v>
      </c>
      <c r="C27" s="14" t="s">
        <v>6</v>
      </c>
      <c r="D27" s="14" t="str">
        <f aca="false">IF(C27="High","P1",IF(C27="Medium","P2","P3"))</f>
        <v>P3</v>
      </c>
      <c r="E27" s="15" t="s">
        <v>196</v>
      </c>
      <c r="F27" s="15" t="s">
        <v>197</v>
      </c>
      <c r="G27" s="15" t="s">
        <v>198</v>
      </c>
      <c r="H27" s="15" t="s">
        <v>199</v>
      </c>
      <c r="I27" s="15" t="s">
        <v>200</v>
      </c>
      <c r="J27" s="14" t="s">
        <v>55</v>
      </c>
      <c r="K27" s="15" t="s">
        <v>56</v>
      </c>
      <c r="L27" s="15" t="s">
        <v>57</v>
      </c>
      <c r="M27" s="14" t="s">
        <v>83</v>
      </c>
    </row>
    <row r="28" customFormat="false" ht="124.5" hidden="false" customHeight="true" outlineLevel="0" collapsed="false">
      <c r="A28" s="14" t="s">
        <v>201</v>
      </c>
      <c r="B28" s="15" t="s">
        <v>12</v>
      </c>
      <c r="C28" s="14" t="s">
        <v>5</v>
      </c>
      <c r="D28" s="14" t="str">
        <f aca="false">IF(C28="High","P1",IF(C28="Medium","P2","P3"))</f>
        <v>P2</v>
      </c>
      <c r="E28" s="15" t="s">
        <v>202</v>
      </c>
      <c r="F28" s="15" t="s">
        <v>203</v>
      </c>
      <c r="G28" s="15" t="s">
        <v>204</v>
      </c>
      <c r="H28" s="15" t="s">
        <v>205</v>
      </c>
      <c r="I28" s="15" t="s">
        <v>206</v>
      </c>
      <c r="J28" s="14" t="s">
        <v>55</v>
      </c>
      <c r="K28" s="15" t="s">
        <v>56</v>
      </c>
      <c r="L28" s="15" t="s">
        <v>57</v>
      </c>
      <c r="M28" s="14" t="s">
        <v>83</v>
      </c>
    </row>
    <row r="29" customFormat="false" ht="124.5" hidden="false" customHeight="true" outlineLevel="0" collapsed="false">
      <c r="A29" s="14" t="s">
        <v>207</v>
      </c>
      <c r="B29" s="15" t="s">
        <v>12</v>
      </c>
      <c r="C29" s="14" t="s">
        <v>5</v>
      </c>
      <c r="D29" s="14" t="str">
        <f aca="false">IF(C29="High","P1",IF(C29="Medium","P2","P3"))</f>
        <v>P2</v>
      </c>
      <c r="E29" s="15" t="s">
        <v>208</v>
      </c>
      <c r="F29" s="15" t="s">
        <v>209</v>
      </c>
      <c r="G29" s="15" t="s">
        <v>210</v>
      </c>
      <c r="H29" s="15" t="s">
        <v>211</v>
      </c>
      <c r="I29" s="15" t="s">
        <v>212</v>
      </c>
      <c r="J29" s="14" t="s">
        <v>76</v>
      </c>
      <c r="K29" s="15" t="s">
        <v>56</v>
      </c>
      <c r="L29" s="15" t="s">
        <v>57</v>
      </c>
      <c r="M29" s="14" t="s">
        <v>83</v>
      </c>
    </row>
    <row r="30" customFormat="false" ht="124.5" hidden="false" customHeight="true" outlineLevel="0" collapsed="false">
      <c r="A30" s="14" t="s">
        <v>213</v>
      </c>
      <c r="B30" s="15" t="s">
        <v>12</v>
      </c>
      <c r="C30" s="14" t="s">
        <v>5</v>
      </c>
      <c r="D30" s="14" t="str">
        <f aca="false">IF(C30="High","P1",IF(C30="Medium","P2","P3"))</f>
        <v>P2</v>
      </c>
      <c r="E30" s="15" t="s">
        <v>214</v>
      </c>
      <c r="F30" s="15" t="s">
        <v>215</v>
      </c>
      <c r="G30" s="15" t="s">
        <v>216</v>
      </c>
      <c r="H30" s="15" t="s">
        <v>217</v>
      </c>
      <c r="I30" s="15" t="s">
        <v>218</v>
      </c>
      <c r="J30" s="14" t="s">
        <v>76</v>
      </c>
      <c r="K30" s="15" t="s">
        <v>56</v>
      </c>
      <c r="L30" s="15" t="s">
        <v>219</v>
      </c>
      <c r="M30" s="14" t="s">
        <v>83</v>
      </c>
    </row>
    <row r="31" customFormat="false" ht="124.5" hidden="false" customHeight="true" outlineLevel="0" collapsed="false">
      <c r="A31" s="14" t="s">
        <v>220</v>
      </c>
      <c r="B31" s="15" t="s">
        <v>12</v>
      </c>
      <c r="C31" s="14" t="s">
        <v>5</v>
      </c>
      <c r="D31" s="14" t="str">
        <f aca="false">IF(C31="High","P1",IF(C31="Medium","P2","P3"))</f>
        <v>P2</v>
      </c>
      <c r="E31" s="15" t="s">
        <v>221</v>
      </c>
      <c r="F31" s="15" t="s">
        <v>222</v>
      </c>
      <c r="G31" s="15" t="s">
        <v>223</v>
      </c>
      <c r="H31" s="15" t="s">
        <v>224</v>
      </c>
      <c r="I31" s="15" t="s">
        <v>225</v>
      </c>
      <c r="J31" s="14" t="s">
        <v>55</v>
      </c>
      <c r="K31" s="15" t="s">
        <v>56</v>
      </c>
      <c r="L31" s="15" t="s">
        <v>57</v>
      </c>
      <c r="M31" s="14" t="s">
        <v>83</v>
      </c>
    </row>
    <row r="32" customFormat="false" ht="124.5" hidden="false" customHeight="true" outlineLevel="0" collapsed="false">
      <c r="A32" s="14" t="s">
        <v>226</v>
      </c>
      <c r="B32" s="15" t="s">
        <v>12</v>
      </c>
      <c r="C32" s="14" t="s">
        <v>5</v>
      </c>
      <c r="D32" s="14" t="str">
        <f aca="false">IF(C32="High","P1",IF(C32="Medium","P2","P3"))</f>
        <v>P2</v>
      </c>
      <c r="E32" s="15" t="s">
        <v>227</v>
      </c>
      <c r="F32" s="15" t="s">
        <v>228</v>
      </c>
      <c r="G32" s="15" t="s">
        <v>229</v>
      </c>
      <c r="H32" s="15" t="s">
        <v>230</v>
      </c>
      <c r="I32" s="15" t="s">
        <v>231</v>
      </c>
      <c r="J32" s="14" t="s">
        <v>55</v>
      </c>
      <c r="K32" s="15" t="s">
        <v>56</v>
      </c>
      <c r="L32" s="15" t="s">
        <v>57</v>
      </c>
      <c r="M32" s="14" t="s">
        <v>83</v>
      </c>
    </row>
    <row r="33" customFormat="false" ht="124.5" hidden="false" customHeight="true" outlineLevel="0" collapsed="false">
      <c r="A33" s="14" t="s">
        <v>232</v>
      </c>
      <c r="B33" s="15" t="s">
        <v>12</v>
      </c>
      <c r="C33" s="14" t="s">
        <v>6</v>
      </c>
      <c r="D33" s="14" t="str">
        <f aca="false">IF(C33="High","P1",IF(C33="Medium","P2","P3"))</f>
        <v>P3</v>
      </c>
      <c r="E33" s="15" t="s">
        <v>233</v>
      </c>
      <c r="F33" s="15" t="s">
        <v>234</v>
      </c>
      <c r="G33" s="15" t="s">
        <v>235</v>
      </c>
      <c r="H33" s="15" t="s">
        <v>236</v>
      </c>
      <c r="I33" s="15" t="s">
        <v>237</v>
      </c>
      <c r="J33" s="14" t="s">
        <v>55</v>
      </c>
      <c r="K33" s="15" t="s">
        <v>56</v>
      </c>
      <c r="L33" s="15" t="s">
        <v>57</v>
      </c>
      <c r="M33" s="14" t="s">
        <v>83</v>
      </c>
    </row>
    <row r="34" customFormat="false" ht="124.5" hidden="false" customHeight="true" outlineLevel="0" collapsed="false">
      <c r="A34" s="14" t="s">
        <v>238</v>
      </c>
      <c r="B34" s="15" t="s">
        <v>12</v>
      </c>
      <c r="C34" s="14" t="s">
        <v>5</v>
      </c>
      <c r="D34" s="14" t="str">
        <f aca="false">IF(C34="High","P1",IF(C34="Medium","P2","P3"))</f>
        <v>P2</v>
      </c>
      <c r="E34" s="15" t="s">
        <v>239</v>
      </c>
      <c r="F34" s="15" t="s">
        <v>240</v>
      </c>
      <c r="G34" s="15" t="s">
        <v>241</v>
      </c>
      <c r="H34" s="15" t="s">
        <v>242</v>
      </c>
      <c r="I34" s="15" t="s">
        <v>243</v>
      </c>
      <c r="J34" s="14" t="s">
        <v>76</v>
      </c>
      <c r="K34" s="15" t="s">
        <v>56</v>
      </c>
      <c r="L34" s="15" t="s">
        <v>244</v>
      </c>
      <c r="M34" s="14" t="s">
        <v>83</v>
      </c>
    </row>
    <row r="35" customFormat="false" ht="124.5" hidden="false" customHeight="true" outlineLevel="0" collapsed="false">
      <c r="A35" s="14" t="s">
        <v>245</v>
      </c>
      <c r="B35" s="15" t="s">
        <v>12</v>
      </c>
      <c r="C35" s="14" t="s">
        <v>4</v>
      </c>
      <c r="D35" s="14" t="str">
        <f aca="false">IF(C35="High","P1",IF(C35="Medium","P2","P3"))</f>
        <v>P1</v>
      </c>
      <c r="E35" s="15" t="s">
        <v>246</v>
      </c>
      <c r="F35" s="15" t="s">
        <v>247</v>
      </c>
      <c r="G35" s="15" t="s">
        <v>248</v>
      </c>
      <c r="H35" s="15" t="s">
        <v>249</v>
      </c>
      <c r="I35" s="15" t="s">
        <v>250</v>
      </c>
      <c r="J35" s="14" t="s">
        <v>55</v>
      </c>
      <c r="K35" s="15" t="s">
        <v>46</v>
      </c>
      <c r="L35" s="15" t="s">
        <v>251</v>
      </c>
      <c r="M35" s="14" t="s">
        <v>83</v>
      </c>
    </row>
    <row r="36" customFormat="false" ht="124.5" hidden="false" customHeight="true" outlineLevel="0" collapsed="false">
      <c r="A36" s="14" t="s">
        <v>252</v>
      </c>
      <c r="B36" s="15" t="s">
        <v>13</v>
      </c>
      <c r="C36" s="14" t="s">
        <v>4</v>
      </c>
      <c r="D36" s="14" t="str">
        <f aca="false">IF(C36="High","P1",IF(C36="Medium","P2","P3"))</f>
        <v>P1</v>
      </c>
      <c r="E36" s="15" t="s">
        <v>253</v>
      </c>
      <c r="F36" s="15" t="s">
        <v>254</v>
      </c>
      <c r="G36" s="15" t="s">
        <v>255</v>
      </c>
      <c r="H36" s="15" t="s">
        <v>256</v>
      </c>
      <c r="I36" s="15" t="s">
        <v>257</v>
      </c>
      <c r="J36" s="14" t="s">
        <v>55</v>
      </c>
      <c r="K36" s="15" t="s">
        <v>56</v>
      </c>
      <c r="L36" s="15" t="s">
        <v>258</v>
      </c>
      <c r="M36" s="14" t="s">
        <v>8</v>
      </c>
    </row>
    <row r="37" customFormat="false" ht="124.5" hidden="false" customHeight="true" outlineLevel="0" collapsed="false">
      <c r="A37" s="14" t="s">
        <v>259</v>
      </c>
      <c r="B37" s="15" t="s">
        <v>13</v>
      </c>
      <c r="C37" s="14" t="s">
        <v>4</v>
      </c>
      <c r="D37" s="14" t="str">
        <f aca="false">IF(C37="High","P1",IF(C37="Medium","P2","P3"))</f>
        <v>P1</v>
      </c>
      <c r="E37" s="15" t="s">
        <v>260</v>
      </c>
      <c r="F37" s="15" t="s">
        <v>261</v>
      </c>
      <c r="G37" s="15" t="s">
        <v>262</v>
      </c>
      <c r="H37" s="15" t="s">
        <v>263</v>
      </c>
      <c r="I37" s="15" t="s">
        <v>264</v>
      </c>
      <c r="J37" s="14" t="s">
        <v>55</v>
      </c>
      <c r="K37" s="15" t="s">
        <v>56</v>
      </c>
      <c r="L37" s="15" t="s">
        <v>57</v>
      </c>
      <c r="M37" s="14" t="s">
        <v>8</v>
      </c>
    </row>
    <row r="38" customFormat="false" ht="124.5" hidden="false" customHeight="true" outlineLevel="0" collapsed="false">
      <c r="A38" s="14" t="s">
        <v>265</v>
      </c>
      <c r="B38" s="15" t="s">
        <v>13</v>
      </c>
      <c r="C38" s="14" t="s">
        <v>5</v>
      </c>
      <c r="D38" s="14" t="str">
        <f aca="false">IF(C38="High","P1",IF(C38="Medium","P2","P3"))</f>
        <v>P2</v>
      </c>
      <c r="E38" s="15" t="s">
        <v>266</v>
      </c>
      <c r="F38" s="15" t="s">
        <v>267</v>
      </c>
      <c r="G38" s="15" t="s">
        <v>268</v>
      </c>
      <c r="H38" s="15" t="s">
        <v>269</v>
      </c>
      <c r="I38" s="15" t="s">
        <v>270</v>
      </c>
      <c r="J38" s="14" t="s">
        <v>55</v>
      </c>
      <c r="K38" s="15" t="s">
        <v>56</v>
      </c>
      <c r="L38" s="15" t="s">
        <v>57</v>
      </c>
      <c r="M38" s="14" t="s">
        <v>83</v>
      </c>
    </row>
    <row r="39" customFormat="false" ht="124.5" hidden="false" customHeight="true" outlineLevel="0" collapsed="false">
      <c r="A39" s="14" t="s">
        <v>271</v>
      </c>
      <c r="B39" s="15" t="s">
        <v>13</v>
      </c>
      <c r="C39" s="14" t="s">
        <v>5</v>
      </c>
      <c r="D39" s="14" t="str">
        <f aca="false">IF(C39="High","P1",IF(C39="Medium","P2","P3"))</f>
        <v>P2</v>
      </c>
      <c r="E39" s="15" t="s">
        <v>272</v>
      </c>
      <c r="F39" s="15" t="s">
        <v>273</v>
      </c>
      <c r="G39" s="15" t="s">
        <v>274</v>
      </c>
      <c r="H39" s="15" t="s">
        <v>275</v>
      </c>
      <c r="I39" s="15" t="s">
        <v>276</v>
      </c>
      <c r="J39" s="14" t="s">
        <v>55</v>
      </c>
      <c r="K39" s="15" t="s">
        <v>56</v>
      </c>
      <c r="L39" s="15" t="s">
        <v>57</v>
      </c>
      <c r="M39" s="14" t="s">
        <v>83</v>
      </c>
    </row>
    <row r="40" customFormat="false" ht="124.5" hidden="false" customHeight="true" outlineLevel="0" collapsed="false">
      <c r="A40" s="14" t="s">
        <v>277</v>
      </c>
      <c r="B40" s="15" t="s">
        <v>13</v>
      </c>
      <c r="C40" s="14" t="s">
        <v>5</v>
      </c>
      <c r="D40" s="14" t="str">
        <f aca="false">IF(C40="High","P1",IF(C40="Medium","P2","P3"))</f>
        <v>P2</v>
      </c>
      <c r="E40" s="15" t="s">
        <v>278</v>
      </c>
      <c r="F40" s="15" t="s">
        <v>279</v>
      </c>
      <c r="G40" s="15" t="s">
        <v>280</v>
      </c>
      <c r="H40" s="15" t="s">
        <v>281</v>
      </c>
      <c r="I40" s="15" t="s">
        <v>282</v>
      </c>
      <c r="J40" s="14" t="s">
        <v>55</v>
      </c>
      <c r="K40" s="15" t="s">
        <v>56</v>
      </c>
      <c r="L40" s="15" t="s">
        <v>57</v>
      </c>
      <c r="M40" s="14" t="s">
        <v>83</v>
      </c>
    </row>
    <row r="41" customFormat="false" ht="124.5" hidden="false" customHeight="true" outlineLevel="0" collapsed="false">
      <c r="A41" s="14" t="s">
        <v>283</v>
      </c>
      <c r="B41" s="15" t="s">
        <v>13</v>
      </c>
      <c r="C41" s="14" t="s">
        <v>5</v>
      </c>
      <c r="D41" s="14" t="str">
        <f aca="false">IF(C41="High","P1",IF(C41="Medium","P2","P3"))</f>
        <v>P2</v>
      </c>
      <c r="E41" s="15" t="s">
        <v>284</v>
      </c>
      <c r="F41" s="15" t="s">
        <v>285</v>
      </c>
      <c r="G41" s="15" t="s">
        <v>286</v>
      </c>
      <c r="H41" s="15" t="s">
        <v>287</v>
      </c>
      <c r="I41" s="15" t="s">
        <v>288</v>
      </c>
      <c r="J41" s="14" t="s">
        <v>55</v>
      </c>
      <c r="K41" s="15" t="s">
        <v>56</v>
      </c>
      <c r="L41" s="15" t="s">
        <v>57</v>
      </c>
      <c r="M41" s="14" t="s">
        <v>83</v>
      </c>
    </row>
    <row r="42" customFormat="false" ht="124.5" hidden="false" customHeight="true" outlineLevel="0" collapsed="false">
      <c r="A42" s="14" t="s">
        <v>289</v>
      </c>
      <c r="B42" s="15" t="s">
        <v>13</v>
      </c>
      <c r="C42" s="14" t="s">
        <v>5</v>
      </c>
      <c r="D42" s="14" t="str">
        <f aca="false">IF(C42="High","P1",IF(C42="Medium","P2","P3"))</f>
        <v>P2</v>
      </c>
      <c r="E42" s="15" t="s">
        <v>290</v>
      </c>
      <c r="F42" s="15" t="s">
        <v>291</v>
      </c>
      <c r="G42" s="15" t="s">
        <v>292</v>
      </c>
      <c r="H42" s="15" t="s">
        <v>293</v>
      </c>
      <c r="I42" s="15" t="s">
        <v>294</v>
      </c>
      <c r="J42" s="14" t="s">
        <v>55</v>
      </c>
      <c r="K42" s="15" t="s">
        <v>56</v>
      </c>
      <c r="L42" s="15" t="s">
        <v>57</v>
      </c>
      <c r="M42" s="14" t="s">
        <v>83</v>
      </c>
    </row>
    <row r="43" customFormat="false" ht="124.5" hidden="false" customHeight="true" outlineLevel="0" collapsed="false">
      <c r="A43" s="14" t="s">
        <v>295</v>
      </c>
      <c r="B43" s="15" t="s">
        <v>13</v>
      </c>
      <c r="C43" s="14" t="s">
        <v>5</v>
      </c>
      <c r="D43" s="14" t="str">
        <f aca="false">IF(C43="High","P1",IF(C43="Medium","P2","P3"))</f>
        <v>P2</v>
      </c>
      <c r="E43" s="15" t="s">
        <v>296</v>
      </c>
      <c r="F43" s="15" t="s">
        <v>297</v>
      </c>
      <c r="G43" s="15" t="s">
        <v>298</v>
      </c>
      <c r="H43" s="15" t="s">
        <v>299</v>
      </c>
      <c r="I43" s="15" t="s">
        <v>300</v>
      </c>
      <c r="J43" s="14" t="s">
        <v>76</v>
      </c>
      <c r="K43" s="15" t="s">
        <v>56</v>
      </c>
      <c r="L43" s="15" t="s">
        <v>57</v>
      </c>
      <c r="M43" s="14" t="s">
        <v>83</v>
      </c>
    </row>
    <row r="44" customFormat="false" ht="124.5" hidden="false" customHeight="true" outlineLevel="0" collapsed="false">
      <c r="A44" s="14" t="s">
        <v>301</v>
      </c>
      <c r="B44" s="15" t="s">
        <v>13</v>
      </c>
      <c r="C44" s="14" t="s">
        <v>5</v>
      </c>
      <c r="D44" s="14" t="str">
        <f aca="false">IF(C44="High","P1",IF(C44="Medium","P2","P3"))</f>
        <v>P2</v>
      </c>
      <c r="E44" s="15" t="s">
        <v>302</v>
      </c>
      <c r="F44" s="15" t="s">
        <v>303</v>
      </c>
      <c r="G44" s="15" t="s">
        <v>304</v>
      </c>
      <c r="H44" s="15" t="s">
        <v>305</v>
      </c>
      <c r="I44" s="15" t="s">
        <v>306</v>
      </c>
      <c r="J44" s="14" t="s">
        <v>55</v>
      </c>
      <c r="K44" s="15" t="s">
        <v>56</v>
      </c>
      <c r="L44" s="15" t="s">
        <v>307</v>
      </c>
      <c r="M44" s="14" t="s">
        <v>83</v>
      </c>
    </row>
    <row r="45" customFormat="false" ht="124.5" hidden="false" customHeight="true" outlineLevel="0" collapsed="false">
      <c r="A45" s="14" t="s">
        <v>308</v>
      </c>
      <c r="B45" s="15" t="s">
        <v>13</v>
      </c>
      <c r="C45" s="14" t="s">
        <v>5</v>
      </c>
      <c r="D45" s="14" t="str">
        <f aca="false">IF(C45="High","P1",IF(C45="Medium","P2","P3"))</f>
        <v>P2</v>
      </c>
      <c r="E45" s="15" t="s">
        <v>309</v>
      </c>
      <c r="F45" s="15" t="s">
        <v>310</v>
      </c>
      <c r="G45" s="15" t="s">
        <v>311</v>
      </c>
      <c r="H45" s="15" t="s">
        <v>312</v>
      </c>
      <c r="I45" s="15" t="s">
        <v>313</v>
      </c>
      <c r="J45" s="14" t="s">
        <v>152</v>
      </c>
      <c r="K45" s="15" t="s">
        <v>314</v>
      </c>
      <c r="L45" s="15" t="s">
        <v>57</v>
      </c>
      <c r="M45" s="14" t="s">
        <v>83</v>
      </c>
    </row>
    <row r="46" customFormat="false" ht="124.5" hidden="false" customHeight="true" outlineLevel="0" collapsed="false">
      <c r="A46" s="14" t="s">
        <v>315</v>
      </c>
      <c r="B46" s="15" t="s">
        <v>14</v>
      </c>
      <c r="C46" s="14" t="s">
        <v>5</v>
      </c>
      <c r="D46" s="14" t="str">
        <f aca="false">IF(C46="High","P1",IF(C46="Medium","P2","P3"))</f>
        <v>P2</v>
      </c>
      <c r="E46" s="15" t="s">
        <v>316</v>
      </c>
      <c r="F46" s="15" t="s">
        <v>317</v>
      </c>
      <c r="G46" s="15" t="s">
        <v>318</v>
      </c>
      <c r="H46" s="15" t="s">
        <v>319</v>
      </c>
      <c r="I46" s="15" t="s">
        <v>320</v>
      </c>
      <c r="J46" s="14" t="s">
        <v>76</v>
      </c>
      <c r="K46" s="15" t="s">
        <v>56</v>
      </c>
      <c r="L46" s="15" t="s">
        <v>57</v>
      </c>
      <c r="M46" s="14" t="s">
        <v>83</v>
      </c>
    </row>
    <row r="47" customFormat="false" ht="124.5" hidden="false" customHeight="true" outlineLevel="0" collapsed="false">
      <c r="A47" s="14" t="s">
        <v>321</v>
      </c>
      <c r="B47" s="15" t="s">
        <v>14</v>
      </c>
      <c r="C47" s="14" t="s">
        <v>5</v>
      </c>
      <c r="D47" s="14" t="str">
        <f aca="false">IF(C47="High","P1",IF(C47="Medium","P2","P3"))</f>
        <v>P2</v>
      </c>
      <c r="E47" s="15" t="s">
        <v>322</v>
      </c>
      <c r="F47" s="15" t="s">
        <v>323</v>
      </c>
      <c r="G47" s="15" t="s">
        <v>324</v>
      </c>
      <c r="H47" s="15" t="s">
        <v>325</v>
      </c>
      <c r="I47" s="15" t="s">
        <v>326</v>
      </c>
      <c r="J47" s="14" t="s">
        <v>152</v>
      </c>
      <c r="K47" s="15" t="s">
        <v>56</v>
      </c>
      <c r="L47" s="15" t="s">
        <v>327</v>
      </c>
      <c r="M47" s="14" t="s">
        <v>83</v>
      </c>
    </row>
    <row r="48" customFormat="false" ht="124.5" hidden="false" customHeight="true" outlineLevel="0" collapsed="false">
      <c r="A48" s="14" t="s">
        <v>328</v>
      </c>
      <c r="B48" s="15" t="s">
        <v>14</v>
      </c>
      <c r="C48" s="14" t="s">
        <v>6</v>
      </c>
      <c r="D48" s="14" t="str">
        <f aca="false">IF(C48="High","P1",IF(C48="Medium","P2","P3"))</f>
        <v>P3</v>
      </c>
      <c r="E48" s="15" t="s">
        <v>329</v>
      </c>
      <c r="F48" s="15" t="s">
        <v>330</v>
      </c>
      <c r="G48" s="15" t="s">
        <v>331</v>
      </c>
      <c r="H48" s="15" t="s">
        <v>332</v>
      </c>
      <c r="I48" s="15" t="s">
        <v>333</v>
      </c>
      <c r="J48" s="14" t="s">
        <v>76</v>
      </c>
      <c r="K48" s="15" t="s">
        <v>56</v>
      </c>
      <c r="L48" s="15" t="s">
        <v>57</v>
      </c>
      <c r="M48" s="14" t="s">
        <v>83</v>
      </c>
    </row>
    <row r="49" customFormat="false" ht="124.5" hidden="false" customHeight="true" outlineLevel="0" collapsed="false">
      <c r="A49" s="14" t="s">
        <v>334</v>
      </c>
      <c r="B49" s="15" t="s">
        <v>14</v>
      </c>
      <c r="C49" s="14" t="s">
        <v>6</v>
      </c>
      <c r="D49" s="14" t="str">
        <f aca="false">IF(C49="High","P1",IF(C49="Medium","P2","P3"))</f>
        <v>P3</v>
      </c>
      <c r="E49" s="15" t="s">
        <v>335</v>
      </c>
      <c r="F49" s="15" t="s">
        <v>336</v>
      </c>
      <c r="G49" s="15" t="s">
        <v>337</v>
      </c>
      <c r="H49" s="15" t="s">
        <v>338</v>
      </c>
      <c r="I49" s="15" t="s">
        <v>339</v>
      </c>
      <c r="J49" s="14" t="s">
        <v>55</v>
      </c>
      <c r="K49" s="15" t="s">
        <v>56</v>
      </c>
      <c r="L49" s="15" t="s">
        <v>57</v>
      </c>
      <c r="M49" s="14" t="s">
        <v>83</v>
      </c>
    </row>
    <row r="50" customFormat="false" ht="124.5" hidden="false" customHeight="true" outlineLevel="0" collapsed="false">
      <c r="A50" s="14" t="s">
        <v>340</v>
      </c>
      <c r="B50" s="15" t="s">
        <v>14</v>
      </c>
      <c r="C50" s="14" t="s">
        <v>6</v>
      </c>
      <c r="D50" s="14" t="str">
        <f aca="false">IF(C50="High","P1",IF(C50="Medium","P2","P3"))</f>
        <v>P3</v>
      </c>
      <c r="E50" s="15" t="s">
        <v>341</v>
      </c>
      <c r="F50" s="15" t="s">
        <v>342</v>
      </c>
      <c r="G50" s="15" t="s">
        <v>343</v>
      </c>
      <c r="H50" s="15" t="s">
        <v>344</v>
      </c>
      <c r="I50" s="15" t="s">
        <v>345</v>
      </c>
      <c r="J50" s="14" t="s">
        <v>55</v>
      </c>
      <c r="K50" s="15" t="s">
        <v>56</v>
      </c>
      <c r="L50" s="15" t="s">
        <v>346</v>
      </c>
      <c r="M50" s="14" t="s">
        <v>83</v>
      </c>
    </row>
    <row r="51" customFormat="false" ht="124.5" hidden="false" customHeight="true" outlineLevel="0" collapsed="false">
      <c r="A51" s="14" t="s">
        <v>347</v>
      </c>
      <c r="B51" s="15" t="s">
        <v>14</v>
      </c>
      <c r="C51" s="14" t="s">
        <v>5</v>
      </c>
      <c r="D51" s="14" t="str">
        <f aca="false">IF(C51="High","P1",IF(C51="Medium","P2","P3"))</f>
        <v>P2</v>
      </c>
      <c r="E51" s="15" t="s">
        <v>348</v>
      </c>
      <c r="F51" s="15" t="s">
        <v>349</v>
      </c>
      <c r="G51" s="15" t="s">
        <v>350</v>
      </c>
      <c r="H51" s="15" t="s">
        <v>351</v>
      </c>
      <c r="I51" s="15" t="s">
        <v>352</v>
      </c>
      <c r="J51" s="14" t="s">
        <v>76</v>
      </c>
      <c r="K51" s="15" t="s">
        <v>56</v>
      </c>
      <c r="L51" s="15" t="s">
        <v>353</v>
      </c>
      <c r="M51" s="14" t="s">
        <v>83</v>
      </c>
    </row>
    <row r="52" customFormat="false" ht="124.5" hidden="false" customHeight="true" outlineLevel="0" collapsed="false">
      <c r="A52" s="14" t="s">
        <v>354</v>
      </c>
      <c r="B52" s="15" t="s">
        <v>15</v>
      </c>
      <c r="C52" s="14" t="s">
        <v>4</v>
      </c>
      <c r="D52" s="14" t="str">
        <f aca="false">IF(C52="High","P1",IF(C52="Medium","P2","P3"))</f>
        <v>P1</v>
      </c>
      <c r="E52" s="15" t="s">
        <v>355</v>
      </c>
      <c r="F52" s="15" t="s">
        <v>356</v>
      </c>
      <c r="G52" s="15" t="s">
        <v>357</v>
      </c>
      <c r="H52" s="15" t="s">
        <v>358</v>
      </c>
      <c r="I52" s="15" t="s">
        <v>359</v>
      </c>
      <c r="J52" s="14" t="s">
        <v>55</v>
      </c>
      <c r="K52" s="15" t="s">
        <v>56</v>
      </c>
      <c r="L52" s="15" t="s">
        <v>360</v>
      </c>
      <c r="M52" s="14" t="s">
        <v>8</v>
      </c>
    </row>
    <row r="53" customFormat="false" ht="124.5" hidden="false" customHeight="true" outlineLevel="0" collapsed="false">
      <c r="A53" s="14" t="s">
        <v>361</v>
      </c>
      <c r="B53" s="15" t="s">
        <v>15</v>
      </c>
      <c r="C53" s="14" t="s">
        <v>4</v>
      </c>
      <c r="D53" s="14" t="str">
        <f aca="false">IF(C53="High","P1",IF(C53="Medium","P2","P3"))</f>
        <v>P1</v>
      </c>
      <c r="E53" s="15" t="s">
        <v>362</v>
      </c>
      <c r="F53" s="15" t="s">
        <v>363</v>
      </c>
      <c r="G53" s="15" t="s">
        <v>364</v>
      </c>
      <c r="H53" s="15" t="s">
        <v>365</v>
      </c>
      <c r="I53" s="15" t="s">
        <v>366</v>
      </c>
      <c r="J53" s="14" t="s">
        <v>55</v>
      </c>
      <c r="K53" s="15" t="s">
        <v>56</v>
      </c>
      <c r="L53" s="15" t="s">
        <v>367</v>
      </c>
      <c r="M53" s="14" t="s">
        <v>8</v>
      </c>
    </row>
    <row r="54" customFormat="false" ht="124.5" hidden="false" customHeight="true" outlineLevel="0" collapsed="false">
      <c r="A54" s="14" t="s">
        <v>368</v>
      </c>
      <c r="B54" s="15" t="s">
        <v>15</v>
      </c>
      <c r="C54" s="14" t="s">
        <v>4</v>
      </c>
      <c r="D54" s="14" t="str">
        <f aca="false">IF(C54="High","P1",IF(C54="Medium","P2","P3"))</f>
        <v>P1</v>
      </c>
      <c r="E54" s="15" t="s">
        <v>369</v>
      </c>
      <c r="F54" s="15" t="s">
        <v>370</v>
      </c>
      <c r="G54" s="15" t="s">
        <v>371</v>
      </c>
      <c r="H54" s="15" t="s">
        <v>372</v>
      </c>
      <c r="I54" s="15" t="s">
        <v>373</v>
      </c>
      <c r="J54" s="14" t="s">
        <v>76</v>
      </c>
      <c r="K54" s="15" t="s">
        <v>56</v>
      </c>
      <c r="L54" s="15" t="s">
        <v>374</v>
      </c>
      <c r="M54" s="14" t="s">
        <v>8</v>
      </c>
    </row>
    <row r="55" customFormat="false" ht="124.5" hidden="false" customHeight="true" outlineLevel="0" collapsed="false">
      <c r="A55" s="14" t="s">
        <v>375</v>
      </c>
      <c r="B55" s="15" t="s">
        <v>15</v>
      </c>
      <c r="C55" s="14" t="s">
        <v>5</v>
      </c>
      <c r="D55" s="14" t="str">
        <f aca="false">IF(C55="High","P1",IF(C55="Medium","P2","P3"))</f>
        <v>P2</v>
      </c>
      <c r="E55" s="15" t="s">
        <v>376</v>
      </c>
      <c r="F55" s="15" t="s">
        <v>377</v>
      </c>
      <c r="G55" s="15" t="s">
        <v>378</v>
      </c>
      <c r="H55" s="15" t="s">
        <v>379</v>
      </c>
      <c r="I55" s="15" t="s">
        <v>380</v>
      </c>
      <c r="J55" s="14" t="s">
        <v>55</v>
      </c>
      <c r="K55" s="15" t="s">
        <v>56</v>
      </c>
      <c r="L55" s="15" t="s">
        <v>381</v>
      </c>
      <c r="M55" s="14" t="s">
        <v>83</v>
      </c>
    </row>
    <row r="56" customFormat="false" ht="124.5" hidden="false" customHeight="true" outlineLevel="0" collapsed="false">
      <c r="A56" s="14" t="s">
        <v>382</v>
      </c>
      <c r="B56" s="15" t="s">
        <v>15</v>
      </c>
      <c r="C56" s="14" t="s">
        <v>5</v>
      </c>
      <c r="D56" s="14" t="str">
        <f aca="false">IF(C56="High","P1",IF(C56="Medium","P2","P3"))</f>
        <v>P2</v>
      </c>
      <c r="E56" s="15" t="s">
        <v>383</v>
      </c>
      <c r="F56" s="15" t="s">
        <v>384</v>
      </c>
      <c r="G56" s="15" t="s">
        <v>385</v>
      </c>
      <c r="H56" s="15" t="s">
        <v>386</v>
      </c>
      <c r="I56" s="15" t="s">
        <v>387</v>
      </c>
      <c r="J56" s="14" t="s">
        <v>55</v>
      </c>
      <c r="K56" s="15" t="s">
        <v>56</v>
      </c>
      <c r="L56" s="15" t="s">
        <v>57</v>
      </c>
      <c r="M56" s="14" t="s">
        <v>83</v>
      </c>
    </row>
  </sheetData>
  <autoFilter ref="A4:M56"/>
  <conditionalFormatting sqref="C5:D56">
    <cfRule type="expression" priority="2" aboveAverage="0" equalAverage="0" bottom="0" percent="0" rank="0" text="" dxfId="7">
      <formula>$C5="High"</formula>
    </cfRule>
    <cfRule type="expression" priority="3" aboveAverage="0" equalAverage="0" bottom="0" percent="0" rank="0" text="" dxfId="8">
      <formula>$C5="Medium"</formula>
    </cfRule>
    <cfRule type="expression" priority="4" aboveAverage="0" equalAverage="0" bottom="0" percent="0" rank="0" text="" dxfId="9">
      <formula>$C5="Low"</formula>
    </cfRule>
  </conditionalFormatting>
  <conditionalFormatting sqref="A5:M56">
    <cfRule type="expression" priority="5" aboveAverage="0" equalAverage="0" bottom="0" percent="0" rank="0" text="" dxfId="10">
      <formula>$M5="Done"</formula>
    </cfRule>
  </conditionalFormatting>
  <dataValidations count="2">
    <dataValidation allowBlank="false" errorStyle="stop" operator="between" showDropDown="false" showErrorMessage="false" showInputMessage="false" sqref="M5:M56" type="list">
      <formula1>"Open,In progress,Done,Won't do"</formula1>
      <formula2>0</formula2>
    </dataValidation>
    <dataValidation allowBlank="false" errorStyle="stop" operator="between" showDropDown="false" showErrorMessage="false" showInputMessage="false" sqref="C5:C5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4" min="3" style="1" width="60"/>
  </cols>
  <sheetData>
    <row r="1" customFormat="false" ht="17.25" hidden="false" customHeight="true" outlineLevel="0" collapsed="false">
      <c r="A1" s="11" t="s">
        <v>388</v>
      </c>
    </row>
    <row r="3" customFormat="false" ht="15" hidden="false" customHeight="true" outlineLevel="0" collapsed="false">
      <c r="A3" s="16" t="s">
        <v>37</v>
      </c>
      <c r="B3" s="16" t="s">
        <v>3</v>
      </c>
      <c r="C3" s="16" t="s">
        <v>389</v>
      </c>
      <c r="D3" s="16" t="s">
        <v>390</v>
      </c>
    </row>
    <row r="4" customFormat="false" ht="15" hidden="false" customHeight="true" outlineLevel="0" collapsed="false">
      <c r="A4" s="15" t="s">
        <v>391</v>
      </c>
      <c r="B4" s="15" t="s">
        <v>392</v>
      </c>
      <c r="C4" s="15" t="s">
        <v>393</v>
      </c>
      <c r="D4" s="15" t="s">
        <v>394</v>
      </c>
    </row>
    <row r="5" customFormat="false" ht="15" hidden="false" customHeight="true" outlineLevel="0" collapsed="false">
      <c r="A5" s="15" t="s">
        <v>395</v>
      </c>
      <c r="B5" s="15" t="s">
        <v>392</v>
      </c>
      <c r="C5" s="15" t="s">
        <v>396</v>
      </c>
      <c r="D5" s="15" t="s">
        <v>397</v>
      </c>
    </row>
    <row r="6" customFormat="false" ht="15" hidden="false" customHeight="true" outlineLevel="0" collapsed="false">
      <c r="A6" s="15" t="s">
        <v>398</v>
      </c>
      <c r="B6" s="15" t="s">
        <v>392</v>
      </c>
      <c r="C6" s="15" t="s">
        <v>399</v>
      </c>
      <c r="D6" s="15" t="s">
        <v>400</v>
      </c>
    </row>
    <row r="7" customFormat="false" ht="15" hidden="false" customHeight="true" outlineLevel="0" collapsed="false">
      <c r="A7" s="15" t="s">
        <v>401</v>
      </c>
      <c r="B7" s="15" t="s">
        <v>392</v>
      </c>
      <c r="C7" s="15" t="s">
        <v>402</v>
      </c>
      <c r="D7" s="15" t="s">
        <v>403</v>
      </c>
    </row>
    <row r="8" customFormat="false" ht="15" hidden="false" customHeight="true" outlineLevel="0" collapsed="false">
      <c r="A8" s="15" t="s">
        <v>404</v>
      </c>
      <c r="B8" s="15" t="s">
        <v>405</v>
      </c>
      <c r="C8" s="15" t="s">
        <v>406</v>
      </c>
      <c r="D8" s="15" t="s">
        <v>407</v>
      </c>
    </row>
    <row r="9" customFormat="false" ht="23.25" hidden="false" customHeight="true" outlineLevel="0" collapsed="false">
      <c r="A9" s="15" t="s">
        <v>408</v>
      </c>
      <c r="B9" s="15" t="s">
        <v>409</v>
      </c>
      <c r="C9" s="15" t="s">
        <v>410</v>
      </c>
      <c r="D9" s="15" t="s">
        <v>411</v>
      </c>
    </row>
    <row r="10" customFormat="false" ht="23.25" hidden="false" customHeight="true" outlineLevel="0" collapsed="false">
      <c r="A10" s="15" t="s">
        <v>412</v>
      </c>
      <c r="B10" s="15" t="s">
        <v>413</v>
      </c>
      <c r="C10" s="15" t="s">
        <v>414</v>
      </c>
      <c r="D10" s="15" t="s">
        <v>415</v>
      </c>
    </row>
    <row r="11" customFormat="false" ht="15" hidden="false" customHeight="true" outlineLevel="0" collapsed="false">
      <c r="A11" s="15" t="s">
        <v>412</v>
      </c>
      <c r="B11" s="15" t="s">
        <v>416</v>
      </c>
      <c r="C11" s="15" t="s">
        <v>417</v>
      </c>
      <c r="D11" s="15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2026-09-25T07:32:24Z</dcterms:created>
  <dc:creator>openpyxl</dc:creator>
  <dc:description/>
  <dc:language>en-US</dc:language>
  <cp:lastModifiedBy/>
  <dcterms:modified xsi:type="dcterms:W3CDTF">2026-09-25T07:45:17Z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