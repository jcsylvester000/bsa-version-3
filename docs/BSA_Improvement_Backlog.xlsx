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mprovement Backlog" sheetId="2" state="visible" r:id="rId4"/>
    <sheet name="Cavite-Batangas Data Plan" sheetId="3" state="visible" r:id="rId5"/>
    <sheet name="Overpass Query Templates" sheetId="4" state="visible" r:id="rId6"/>
    <sheet name="Data Coverage Matrix" sheetId="5" state="visible" r:id="rId7"/>
    <sheet name="Sources" sheetId="6" state="visible" r:id="rId8"/>
  </sheets>
  <definedNames>
    <definedName function="false" hidden="true" localSheetId="1" name="_xlnm._FilterDatabase" vbProcedure="false">'Improvement Backlog'!$A$4:$M$40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<sst xmlns="http://schemas.openxmlformats.org/spreadsheetml/2006/main" count="677" uniqueCount="500">
  <si>
    <t xml:space="preserve">BSA v3 — What still needs improvement (for approval)</t>
  </si>
  <si>
    <t xml:space="preserve">Development prototype → clean, functioning handover to Grid's development team. Review the Backlog, set Approval per row, then we proceed in batches.</t>
  </si>
  <si>
    <t xml:space="preserve">Backlog by area and priority</t>
  </si>
  <si>
    <t xml:space="preserve">Area</t>
  </si>
  <si>
    <t xml:space="preserve">P1</t>
  </si>
  <si>
    <t xml:space="preserve">P2</t>
  </si>
  <si>
    <t xml:space="preserve">P3</t>
  </si>
  <si>
    <t xml:space="preserve">Total</t>
  </si>
  <si>
    <t xml:space="preserve">Approved</t>
  </si>
  <si>
    <t xml:space="preserve">Regional expansion</t>
  </si>
  <si>
    <t xml:space="preserve">Data &amp; scoring</t>
  </si>
  <si>
    <t xml:space="preserve">AI layer</t>
  </si>
  <si>
    <t xml:space="preserve">Architecture</t>
  </si>
  <si>
    <t xml:space="preserve">Operations</t>
  </si>
  <si>
    <t xml:space="preserve">Security</t>
  </si>
  <si>
    <t xml:space="preserve">User experience</t>
  </si>
  <si>
    <t xml:space="preserve">How to read the workbook</t>
  </si>
  <si>
    <t xml:space="preserve">• Improvement Backlog — every open item: what needs improving, current state, how to improve, the implementation needed and the desired outcome. Yellow 'Approval' column is yours to fill (Approve / Defer / Reject / Discuss).</t>
  </si>
  <si>
    <t xml:space="preserve">• Cavite-Batangas Data Plan — 12 steps to source Cavite and Batangas data (Overpass API + PSA, BIR, broker and DPWH sources) and load it into Neon with its Truth Layer.</t>
  </si>
  <si>
    <t xml:space="preserve">• Overpass Query Templates — ready-to-test Overpass QL for provinces, tiles, brands, malls, transport and barangay boundaries.</t>
  </si>
  <si>
    <t xml:space="preserve">• Data Coverage Matrix — what data exists today for NCR, Davao, Cavite and Batangas, and where the gaps get filled from.</t>
  </si>
  <si>
    <t xml:space="preserve">• Sources — references used for the Overpass guidance, admin levels, census figures and BIR RDOs.</t>
  </si>
  <si>
    <t xml:space="preserve">• Suggested first batch (P1): R-01, R-02, R-03, R-04, I-01, I-02, O-01, O-02, O-03, S-01, U-01.</t>
  </si>
  <si>
    <t xml:space="preserve">BSA v3 — Improvement Backlog (development prototype → clean handover)</t>
  </si>
  <si>
    <t xml:space="preserve">Status as of 23 Sep 2026, after fix batches 1–5. Set 'Approval' per row (Approve / Defer / Reject / Discuss). Priority: P1 = before handover · P2 = early dev-team sprint · P3 = later. Effort: S ≤1 day · M 2–5 days · L 1–3 weeks.</t>
  </si>
  <si>
    <t xml:space="preserve">ID</t>
  </si>
  <si>
    <t xml:space="preserve">What still needs improvement</t>
  </si>
  <si>
    <t xml:space="preserve">Current state / why it matters</t>
  </si>
  <si>
    <t xml:space="preserve">How to improve</t>
  </si>
  <si>
    <t xml:space="preserve">Implementation needed</t>
  </si>
  <si>
    <t xml:space="preserve">Desired outcome</t>
  </si>
  <si>
    <t xml:space="preserve">Priority</t>
  </si>
  <si>
    <t xml:space="preserve">Effort</t>
  </si>
  <si>
    <t xml:space="preserve">Owner (skill)</t>
  </si>
  <si>
    <t xml:space="preserve">Depends on</t>
  </si>
  <si>
    <t xml:space="preserve">Approval</t>
  </si>
  <si>
    <t xml:space="preserve">Reviewer notes</t>
  </si>
  <si>
    <t xml:space="preserve">R-01</t>
  </si>
  <si>
    <t xml:space="preserve">Region support is hard-coded to NCR (and part of Davao)</t>
  </si>
  <si>
    <t xml:space="preserve">ingestOsm.ts sweeps one fixed NCR_BBOX; the warm grid (NCR_CENTERS), corridor resolver (inferCorridor), zonal city matcher (canonicalNcrCity) and populate.ts regions are NCR/Davao only. A Cavite or Batangas site gets proxy lease comps (Quezon City; Bacoor → Las Piñas), no zonal cross-check, no mall or traffic context, and no demographics.</t>
  </si>
  <si>
    <t xml:space="preserve">Introduce a single region registry and make every ingest script and resolver region-aware, so adding a province is configuration + data, not code changes.</t>
  </si>
  <si>
    <t xml:space="preserve">New lib/geo/regions.ts: { key, name, psgcProvinceCodes, bbox, overpassArea, warmCentres, corridors }. Add --region=&lt;key&gt; to ingestOsm.ts, populate.ts and the zonal ETL. Replace canonicalNcrCity/inferCorridor with canonicalCity(region)/inferCorridor(region). Add region + province to candidate_site (derived from the pinned point).</t>
  </si>
  <si>
    <t xml:space="preserve">Any supported province can be switched on by adding a registry entry and loading its data. Cavite and Batangas sites are analysed on local data instead of NCR proxies.</t>
  </si>
  <si>
    <t xml:space="preserve">M</t>
  </si>
  <si>
    <t xml:space="preserve">02 Database · 01 Senior Web</t>
  </si>
  <si>
    <t xml:space="preserve">R-02</t>
  </si>
  <si>
    <t xml:space="preserve">No real administrative boundaries (barangay / city polygons)</t>
  </si>
  <si>
    <t xml:space="preserve">demographic_cell.geom is a 600 m circle around a centroid, not the barangay shape. POIs are stored with city/barangay = NULL, so nothing can be filtered or reported by LGU.</t>
  </si>
  <si>
    <t xml:space="preserve">Load official PSGC boundary polygons (region → province → city/municipality → barangay) and tag every POI and site with its PSGC codes by point-in-polygon.</t>
  </si>
  <si>
    <t xml:space="preserve">New table admin_boundary (psgc_code PK, level, name, parent_psgc, geom MultiPolygon, GiST index, truth_layer Verified). Loader prisma/loadBoundaries.ts reading the PSGC shapefiles (altcoder/philippines-psgc-shapefiles, MIT, PSGC Q4-2023). SQL backfill: UPDATE poi SET city/barangay/psgc FROM admin_boundary WHERE ST_Contains. Same for candidate_site and mall_property.</t>
  </si>
  <si>
    <t xml:space="preserve">Every point knows its barangay, city and province. Reports, White-Space areas and zonal lookups use true LGU boundaries.</t>
  </si>
  <si>
    <t xml:space="preserve">02 Database</t>
  </si>
  <si>
    <t xml:space="preserve">R-03</t>
  </si>
  <si>
    <t xml:space="preserve">OSM/Overpass sweep truncates results in dense areas</t>
  </si>
  <si>
    <t xml:space="preserve">Each vertical is fetched with ONE bbox query for all of NCR and 'out center 600' (brands: 200). Dense categories (food, convenience, pharmacy) hit the cap, so coverage is silently incomplete. Scaling that to a whole province is worse.</t>
  </si>
  <si>
    <t xml:space="preserve">Tile each region into ~0.05°–0.1° cells and query per tile + vertical, sequentially with pauses; if a tile returns the cap, split it into four and retry.</t>
  </si>
  <si>
    <t xml:space="preserve">osmService.establishmentsInTiles(region, vertical): adaptive quad-tiling, 2.5 s pause, endpoint rotation (already present), resumable checkpoint (poi_coverage rows with source='bulk'). Log per-tile counts. Keep total ≤ ~10,000 queries/day per Overpass guidance.</t>
  </si>
  <si>
    <t xml:space="preserve">Complete, non-truncated establishment coverage per province, reproducible and resumable.</t>
  </si>
  <si>
    <t xml:space="preserve">02 Database · 06 Research</t>
  </si>
  <si>
    <t xml:space="preserve">R-04</t>
  </si>
  <si>
    <t xml:space="preserve">Demographics exist only for NCR (283 barangays) + 13 Davao cells</t>
  </si>
  <si>
    <t xml:space="preserve">Site Fit demand, Daypart and White-Space need population. Outside NCR, Site Fit can't score, so the composite is capped at CAUTION and confidence reads Low.</t>
  </si>
  <si>
    <t xml:space="preserve">Load PSA 2020 Census barangay populations for Cavite and Batangas onto the real barangay polygons; keep estimated bands (income, daytime) clearly Assumed.</t>
  </si>
  <si>
    <t xml:space="preserve">Source: PSA 2020 CPH barangay tables (Region IV-A). ETL → prisma/data/demographics.&lt;region&gt;.json (psgc_code, barangay, city, population [Verified], income_band/daytime_pop [Assumed]) → loadDemographics with geom from admin_boundary. OSM barangay nodes' population tag is a cross-check only.</t>
  </si>
  <si>
    <t xml:space="preserve">Cavite (4,344,829 people, 2020) and Batangas (2,908,494) sites get real demand scores and White-Space areas, with honest Truth Layers.</t>
  </si>
  <si>
    <t xml:space="preserve">R-05</t>
  </si>
  <si>
    <t xml:space="preserve">BIR zonal values cover NCR only</t>
  </si>
  <si>
    <t xml:space="preserve">Lease zonal cross-check and the Land zoning screen return 'unknown' outside NCR.</t>
  </si>
  <si>
    <t xml:space="preserve">Run the existing NCR zonal ETL on the BIR schedules for the Cavite and Batangas RDOs and load with region = 'IV-A'.</t>
  </si>
  <si>
    <t xml:space="preserve">Collect latest BIR zonal workbooks: RDO 54A (Trece Martires, East Cavite), RDO 54B (Bacoor, West Cavite), RDO 58 and 59 (Batangas). Reuse the NCR ETL (label canonicalisation, ₱ parsing, barangay + city grain). Extend canonicalCity for provincial LGUs. Load via loadZonal (idempotent natural key).</t>
  </si>
  <si>
    <t xml:space="preserve">Zonal band, rent-to-zonal cross-check and zoning screen work for Cavite and Batangas — still framed as tax-reference floors only.</t>
  </si>
  <si>
    <t xml:space="preserve">02 Database · 07 Broker</t>
  </si>
  <si>
    <t xml:space="preserve">R-06</t>
  </si>
  <si>
    <t xml:space="preserve">No lease comparables outside NCR/Davao corridors</t>
  </si>
  <si>
    <t xml:space="preserve">Lease Benchmark falls back to a Quezon City proxy (flagged Projected) for every Cavite/Batangas site.</t>
  </si>
  <si>
    <t xml:space="preserve">Define provincial corridors and collect at least 5 comps per corridor × format from Grid's broker network and public listings.</t>
  </si>
  <si>
    <t xml:space="preserve">Corridors (proposal): Bacoor/Molino, Imus, Dasmariñas, General Trias/Tanza, Tagaytay, Batangas City, Lipa, Sto. Tomas/Tanauan. Capture template (format, corridor, base rent ₱/sqm, CUSA, escalation, term, observed_date, source) → lease.&lt;region&gt;.json → loadLease. Truth: Verified only for signed/confirmed leases, else Assumed.</t>
  </si>
  <si>
    <t xml:space="preserve">Real corridor benchmarks for the main provincial trade areas; proxy flag disappears for those sites.</t>
  </si>
  <si>
    <t xml:space="preserve">L</t>
  </si>
  <si>
    <t xml:space="preserve">07 Broker · 02 Database</t>
  </si>
  <si>
    <t xml:space="preserve">R-07</t>
  </si>
  <si>
    <t xml:space="preserve">Mall and traffic context missing for provinces</t>
  </si>
  <si>
    <t xml:space="preserve">mall_property has 33 NCR malls; traffic_corridor has 15 NCR/Davao corridors. Provincial sites get 'no mall nearby' and a POI-count traffic proxy.</t>
  </si>
  <si>
    <t xml:space="preserve">Seed malls from OSM (shop=mall) with broker-reviewed tier/footfall; add major provincial arterials with DPWH AADT as traffic corridors.</t>
  </si>
  <si>
    <t xml:space="preserve">Overpass shop=mall per province → review sheet (tier A/B/C, footfall band = Assumed) → malls.&lt;region&gt;.json → loadMalls. Traffic: DPWH AADT for e.g. Aguinaldo Hwy, Governor's Drive, Molino Blvd, SLEX/STAR Tollway, Batangas–Lipa roads → trafficSeasonality rows (Assumed).</t>
  </si>
  <si>
    <t xml:space="preserve">Mall and Land/Traffic modules score provincial sites on real context.</t>
  </si>
  <si>
    <t xml:space="preserve">R-08</t>
  </si>
  <si>
    <t xml:space="preserve">No regional QA pass</t>
  </si>
  <si>
    <t xml:space="preserve">Davao and NCR had 'brutal' QA runs; provinces have none.</t>
  </si>
  <si>
    <t xml:space="preserve">Run the scripted QA journey for 8–10 realistic Cavite/Batangas scenarios after data load.</t>
  </si>
  <si>
    <t xml:space="preserve">Copy scripts/qa_davao_brutal.ts → qa_calabarzon.ts (Imus milk tea, Dasmariñas pharmacy, Lipa QSR, Batangas City laundry, Tagaytay café…). Check: no proxy flags, Truth mix, confidence not Low by default, zero console errors. Record in docs/qa-history.</t>
  </si>
  <si>
    <t xml:space="preserve">Signed-off provincial journeys before brokers use Cavite/Batangas.</t>
  </si>
  <si>
    <t xml:space="preserve">S</t>
  </si>
  <si>
    <t xml:space="preserve">08 Journey QA · 11 Code QA</t>
  </si>
  <si>
    <t xml:space="preserve">R-01..R-07</t>
  </si>
  <si>
    <t xml:space="preserve">D-01</t>
  </si>
  <si>
    <t xml:space="preserve">Site Fit 'accessibility' pillar is always empty</t>
  </si>
  <si>
    <t xml:space="preserve">The 15% accessibility pillar is null for every site (no transport layer), so Site Fit only uses demand + competition.</t>
  </si>
  <si>
    <t xml:space="preserve">Score access from OSM transport features (jeepney/bus stops, rail stations, main roads) within walking distance.</t>
  </si>
  <si>
    <t xml:space="preserve">Overpass: public_transport=platform|stop_position, railway=station, highway=primary|trunk within 500 m → poi category 'transport' (already in enum). siteFit.ts: access = f(stops within 400 m, station within 800 m, frontage on primary road). Unit tests.</t>
  </si>
  <si>
    <t xml:space="preserve">Site Fit uses all three pillars; access-rich sites score higher.</t>
  </si>
  <si>
    <t xml:space="preserve">D-02</t>
  </si>
  <si>
    <t xml:space="preserve">Trade areas are fixed circles</t>
  </si>
  <si>
    <t xml:space="preserve">Catchments are circles by format (600–1,200 m). Rivers, highways and gated villages make real walk/drive areas very different.</t>
  </si>
  <si>
    <t xml:space="preserve">Replace circles with travel-time isochrones for the candidate and nearby outlets.</t>
  </si>
  <si>
    <t xml:space="preserve">Self-host OSRM/Valhalla or use an isochrone API server-side; cache polygons per site in a new column; overlap = ST_Area(ST_Intersection). Keep circles as fallback.</t>
  </si>
  <si>
    <t xml:space="preserve">More realistic cannibalization and catchment population, especially in provinces.</t>
  </si>
  <si>
    <t xml:space="preserve">D-03</t>
  </si>
  <si>
    <t xml:space="preserve">Lease comp set is thin and ages silently</t>
  </si>
  <si>
    <t xml:space="preserve">80 comps across 15 corridors; most are Assumed; no freshness rule.</t>
  </si>
  <si>
    <t xml:space="preserve">Add a comp feedback loop: brokers submit confirmed rents; age comps out after 24 months.</t>
  </si>
  <si>
    <t xml:space="preserve">API POST /api/lease-comps (staff/broker, Zod, audit), observed_date required; benchmark filters to ≤24 months (configurable) and shows sample age. Admin review queue.</t>
  </si>
  <si>
    <t xml:space="preserve">Growing, dated, broker-verified comp set; fewer low-sample reads.</t>
  </si>
  <si>
    <t xml:space="preserve">03 API · 02 Database · 07 Broker</t>
  </si>
  <si>
    <t xml:space="preserve">D-04</t>
  </si>
  <si>
    <t xml:space="preserve">Known zonal gaps in NCR</t>
  </si>
  <si>
    <t xml:space="preserve">San Juan zonal values are missing entirely; Valenzuela barangay grain missing (the source folder held a Taguig duplicate).</t>
  </si>
  <si>
    <t xml:space="preserve">Obtain the correct BIR workbooks and re-run the zonal ETL.</t>
  </si>
  <si>
    <t xml:space="preserve">Download current RDO schedules for San Juan and Valenzuela → prisma/data/zonal.real.json → npm run db:populate:ncr.</t>
  </si>
  <si>
    <t xml:space="preserve">Complete NCR zonal coverage.</t>
  </si>
  <si>
    <t xml:space="preserve">D-05</t>
  </si>
  <si>
    <t xml:space="preserve">Google-sourced POIs recorded as 'manual'</t>
  </si>
  <si>
    <t xml:space="preserve">PoiSource enum has only osm | manual, so provenance of Places-ingested rows is lost.</t>
  </si>
  <si>
    <t xml:space="preserve">Add 'google' to PoiSource and a raw_tags/provenance JSON column.</t>
  </si>
  <si>
    <t xml:space="preserve">Prisma enum migration (ALTER TYPE ADD VALUE), update lib/ingest/places.ts, backfill where possible.</t>
  </si>
  <si>
    <t xml:space="preserve">Every POI's source is traceable (licensing + Truth Layer honesty).</t>
  </si>
  <si>
    <t xml:space="preserve">D-06</t>
  </si>
  <si>
    <t xml:space="preserve">Age profiles are modelled from income</t>
  </si>
  <si>
    <t xml:space="preserve">demographic_cell.age_profile is a Projected model from income band (used by Healthcare).</t>
  </si>
  <si>
    <t xml:space="preserve">Replace with PSA age-sex distribution by city/municipality.</t>
  </si>
  <si>
    <t xml:space="preserve">PSA 2020 CPH age tables → enrichAgeProfiles.ts reads real distribution; Truth Verified at city grain, Assumed when down-scaled to barangay.</t>
  </si>
  <si>
    <t xml:space="preserve">Healthcare catchment uses real age data.</t>
  </si>
  <si>
    <t xml:space="preserve">D-07</t>
  </si>
  <si>
    <t xml:space="preserve">Old runs keep pre-fix scores</t>
  </si>
  <si>
    <t xml:space="preserve">Runs created before 23 Sep 2026 still show old confidence/labels until re-run; the dashboard keeps a legacy confidence fallback for them.</t>
  </si>
  <si>
    <t xml:space="preserve">Bulk re-run historical runs once migrations are applied, then remove the legacy fallback.</t>
  </si>
  <si>
    <t xml:space="preserve">Admin script scripts/rerunAll.ts (loops runPipeline(id,{refresh:true}) with pauses); then delete the fallback branch in lib/modules/dashboard.ts.</t>
  </si>
  <si>
    <t xml:space="preserve">All runs scored by one rule set; less legacy code for the dev team.</t>
  </si>
  <si>
    <t xml:space="preserve">01 Senior Web</t>
  </si>
  <si>
    <t xml:space="preserve">I-01</t>
  </si>
  <si>
    <t xml:space="preserve">VectorShift prompt not yet updated for the new input</t>
  </si>
  <si>
    <t xml:space="preserve">The app now sends the site schema + interpretation reference; the prompt inside VectorShift still says 'use ONLY the schema'.</t>
  </si>
  <si>
    <t xml:space="preserve">Add one line to the VectorShift prompt and version the prompt text in the repo.</t>
  </si>
  <si>
    <t xml:space="preserve">Prompt line: 'An INTERPRETATION REFERENCE may follow the schema — use it only to understand the fields; cite figures only from the schema.' Copy the live System + Prompt into lib/ai/prompts/vectorshift.v4.md with a version id logged on each generation.</t>
  </si>
  <si>
    <t xml:space="preserve">Prompt changes are reviewable in git; write-ups stay grounded.</t>
  </si>
  <si>
    <t xml:space="preserve">10 AI Systems</t>
  </si>
  <si>
    <t xml:space="preserve">I-02</t>
  </si>
  <si>
    <t xml:space="preserve">Live AI can exceed Netlify's function time limit</t>
  </si>
  <si>
    <t xml:space="preserve">Each site's write-up must finish inside one synchronous function (≤26 s). Slow model responses surface as 502 'function_timeout'.</t>
  </si>
  <si>
    <t xml:space="preserve">Move generation to a Netlify Background Function (runs up to 15 min) and let the UI poll the existing status endpoint.</t>
  </si>
  <si>
    <t xml:space="preserve">netlify/functions/analysis-background.ts calls generateAnalysisReport; POST /api/analysis-report enqueues and returns 202; the Analysis tab already polls GET /api/analysis-report. Keep the per-site lock.</t>
  </si>
  <si>
    <t xml:space="preserve">No AI timeouts regardless of model latency.</t>
  </si>
  <si>
    <t xml:space="preserve">10 AI Systems · 03 API</t>
  </si>
  <si>
    <t xml:space="preserve">I-03</t>
  </si>
  <si>
    <t xml:space="preserve">Semantic search (pgvector) is not used</t>
  </si>
  <si>
    <t xml:space="preserve">doc_chunk.embedding + HNSW index exist but retrieval is keyword-only; fine for 20 chunks, weak as the corpus grows.</t>
  </si>
  <si>
    <t xml:space="preserve">Add an embedding provider and hybrid (keyword + vector) retrieval.</t>
  </si>
  <si>
    <t xml:space="preserve">EMBEDDING_PROVIDER env; embed chunks at seed time; retrieve() = tsvector rank ⊕ cosine (&lt;=&gt;) with RRF merge; tests with a fixed corpus.</t>
  </si>
  <si>
    <t xml:space="preserve">Better grounding for the AI as methodology/market docs grow.</t>
  </si>
  <si>
    <t xml:space="preserve">10 AI Systems · 02 Database</t>
  </si>
  <si>
    <t xml:space="preserve">I-04</t>
  </si>
  <si>
    <t xml:space="preserve">No admin view of AI usage and cost</t>
  </si>
  <si>
    <t xml:space="preserve">pipeline_usage records cost, latency and failures but nothing displays it.</t>
  </si>
  <si>
    <t xml:space="preserve">Add an admin-only usage page.</t>
  </si>
  <si>
    <t xml:space="preserve">GET /api/admin/usage (isAdmin) aggregating by day/user/brand; /settings/usage page with totals, failure rate, p95 latency.</t>
  </si>
  <si>
    <t xml:space="preserve">Grid can monitor AI spend and reliability.</t>
  </si>
  <si>
    <t xml:space="preserve">03 API · 01 Senior Web</t>
  </si>
  <si>
    <t xml:space="preserve">A-01</t>
  </si>
  <si>
    <t xml:space="preserve">Pages read the database directly (not API-first)</t>
  </si>
  <si>
    <t xml:space="preserve">7 server pages (intake, modules, reports, runs, scorecard, settings, site) plus the app layout query Prisma directly. Access checks are applied and nothing leaks, but it deviates from the API-first rule.</t>
  </si>
  <si>
    <t xml:space="preserve">Move page data loading behind lib/ services shared with the API routes (or call the routes).</t>
  </si>
  <si>
    <t xml:space="preserve">Create lib/services/{runs,sites,reports}.ts used by both routes and pages; pages stop importing prisma.</t>
  </si>
  <si>
    <t xml:space="preserve">One data-access path; easier production hardening and caching.</t>
  </si>
  <si>
    <t xml:space="preserve">A-02</t>
  </si>
  <si>
    <t xml:space="preserve">White-Space is O(areas × POIs) per site</t>
  </si>
  <si>
    <t xml:space="preserve">Every site loads all competitor POIs and all demographic cells and scores in JavaScript. Provinces will multiply the cost.</t>
  </si>
  <si>
    <t xml:space="preserve">Push tiering/counting into PostGIS and compute once per run.</t>
  </si>
  <si>
    <t xml:space="preserve">SQL with ST_DWithin + GROUP BY area; cache result per (run, concept); restrict to the site's region.</t>
  </si>
  <si>
    <t xml:space="preserve">White-Space stays fast as data grows.</t>
  </si>
  <si>
    <t xml:space="preserve">A-03</t>
  </si>
  <si>
    <t xml:space="preserve">Reference-data loaders are row-by-row</t>
  </si>
  <si>
    <t xml:space="preserve">Loaders do find-then-write per row over Neon HTTP; a province-scale load will be slow and partial loads aren't atomic.</t>
  </si>
  <si>
    <t xml:space="preserve">Batch upserts (INSERT … ON CONFLICT) in chunks of 500 using the pooled/direct connection for scripts.</t>
  </si>
  <si>
    <t xml:space="preserve">Script-only PrismaClient on DIRECT_URL (not the HTTP adapter); $executeRaw batch upserts; per-dataset transaction.</t>
  </si>
  <si>
    <t xml:space="preserve">Province loads in minutes, all-or-nothing.</t>
  </si>
  <si>
    <t xml:space="preserve">A-04</t>
  </si>
  <si>
    <t xml:space="preserve">No automated end-to-end journey tests</t>
  </si>
  <si>
    <t xml:space="preserve">Unit tests (331) cover logic; the journey is only checked manually. Playwright is already a dev dependency.</t>
  </si>
  <si>
    <t xml:space="preserve">Add Playwright smoke tests for the core journey against a seeded preview database.</t>
  </si>
  <si>
    <t xml:space="preserve">tests/e2e: login → intake (demo prefill) → run → site tabs → Analysis (stub AI) → run report. Run in CI on a Neon branch.</t>
  </si>
  <si>
    <t xml:space="preserve">Regressions like the hydration error are caught before deploy.</t>
  </si>
  <si>
    <t xml:space="preserve">11 Code QA · 08 Journey QA</t>
  </si>
  <si>
    <t xml:space="preserve">O-01</t>
  </si>
  <si>
    <t xml:space="preserve">A-05</t>
  </si>
  <si>
    <t xml:space="preserve">Unused schema values</t>
  </si>
  <si>
    <t xml:space="preserve">ModuleKind values financial, risk, calibration are never written.</t>
  </si>
  <si>
    <t xml:space="preserve">Remove or document as reserved.</t>
  </si>
  <si>
    <t xml:space="preserve">Either a migration dropping them (Postgres enum rebuild) or a comment in schema.prisma + data dictionary.</t>
  </si>
  <si>
    <t xml:space="preserve">A schema the dev team can trust.</t>
  </si>
  <si>
    <t xml:space="preserve">No CI pipeline</t>
  </si>
  <si>
    <t xml:space="preserve">Typecheck, tests and build only run when someone runs them.</t>
  </si>
  <si>
    <t xml:space="preserve">GitHub Actions on every push/PR.</t>
  </si>
  <si>
    <t xml:space="preserve">.github/workflows/ci.yml: npm ci → prisma generate → npm run typecheck → npm test → npm run build; npm audit (fail on high).</t>
  </si>
  <si>
    <t xml:space="preserve">Broken code can't reach main unnoticed.</t>
  </si>
  <si>
    <t xml:space="preserve">11 Code QA</t>
  </si>
  <si>
    <t xml:space="preserve">O-02</t>
  </si>
  <si>
    <t xml:space="preserve">Migrations are applied by hand</t>
  </si>
  <si>
    <t xml:space="preserve">Every batch needed a manual 'prisma migrate deploy'; forgetting it caused the analysis 502s.</t>
  </si>
  <si>
    <t xml:space="preserve">Apply migrations automatically on deploy (or block the deploy if pending).</t>
  </si>
  <si>
    <t xml:space="preserve">Netlify build: npx prisma migrate deploy &amp;&amp; npx prisma generate &amp;&amp; npm run build (DIRECT_URL set in Netlify), or a CI step before deploy.</t>
  </si>
  <si>
    <t xml:space="preserve">Code and database can't drift apart.</t>
  </si>
  <si>
    <t xml:space="preserve">02 Database · 12 Delivery</t>
  </si>
  <si>
    <t xml:space="preserve">O-03</t>
  </si>
  <si>
    <t xml:space="preserve">Single environment</t>
  </si>
  <si>
    <t xml:space="preserve">Local and production point at the same Neon database.</t>
  </si>
  <si>
    <t xml:space="preserve">Separate dev / preview / production using Neon branches and Netlify deploy contexts.</t>
  </si>
  <si>
    <t xml:space="preserve">Neon branch per environment; Netlify env vars per context; preview deploys use a preview branch.</t>
  </si>
  <si>
    <t xml:space="preserve">Testing never touches production data.</t>
  </si>
  <si>
    <t xml:space="preserve">12 Delivery · 04 Security</t>
  </si>
  <si>
    <t xml:space="preserve">O-04</t>
  </si>
  <si>
    <t xml:space="preserve">No error monitoring</t>
  </si>
  <si>
    <t xml:space="preserve">Server errors only appear in Netlify function logs.</t>
  </si>
  <si>
    <t xml:space="preserve">Add error tracking and structured logs.</t>
  </si>
  <si>
    <t xml:space="preserve">Sentry (or similar) for Next.js server + client; log request id + reason codes already produced by the API.</t>
  </si>
  <si>
    <t xml:space="preserve">Problems are seen and triaged before users report them.</t>
  </si>
  <si>
    <t xml:space="preserve">12 Delivery</t>
  </si>
  <si>
    <t xml:space="preserve">S-01</t>
  </si>
  <si>
    <t xml:space="preserve">Rotate exposed credentials</t>
  </si>
  <si>
    <t xml:space="preserve">The Google API key in keys.docx is exposed; real account passwords were in the old public database dump.</t>
  </si>
  <si>
    <t xml:space="preserve">Rotate the key (restrict by API + referrer) and reset affected passwords.</t>
  </si>
  <si>
    <t xml:space="preserve">Google Cloud console → new key → GOOGLE_API_KEY in Netlify; revoke old. Force password reset for accounts that existed before 23 Sep.</t>
  </si>
  <si>
    <t xml:space="preserve">No known-compromised credentials remain.</t>
  </si>
  <si>
    <t xml:space="preserve">04 Security</t>
  </si>
  <si>
    <t xml:space="preserve">S-02</t>
  </si>
  <si>
    <t xml:space="preserve">CSP still allows inline scripts</t>
  </si>
  <si>
    <t xml:space="preserve">Next 14 needs 'unsafe-inline' for its bootstrap scripts.</t>
  </si>
  <si>
    <t xml:space="preserve">Nonce-based CSP via middleware.</t>
  </si>
  <si>
    <t xml:space="preserve">middleware.ts generates a nonce per request, sets CSP header, passes nonce to next/script.</t>
  </si>
  <si>
    <t xml:space="preserve">Stronger XSS protection.</t>
  </si>
  <si>
    <t xml:space="preserve">S-03</t>
  </si>
  <si>
    <t xml:space="preserve">Sessions can't be revoked</t>
  </si>
  <si>
    <t xml:space="preserve">JWTs are valid for 8 h even after logout or a password change.</t>
  </si>
  <si>
    <t xml:space="preserve">Add a token version to app_user and check it on each request.</t>
  </si>
  <si>
    <t xml:space="preserve">app_user.token_version; increment on logout-all/password change; verifySession compares.</t>
  </si>
  <si>
    <t xml:space="preserve">Logout and password change take effect immediately.</t>
  </si>
  <si>
    <t xml:space="preserve">S-04</t>
  </si>
  <si>
    <t xml:space="preserve">Rate limiting only in the app</t>
  </si>
  <si>
    <t xml:space="preserve">The DB-backed limiter works but runs after the request reaches the function.</t>
  </si>
  <si>
    <t xml:space="preserve">Add edge/WAF rate limits for /api/auth/*.</t>
  </si>
  <si>
    <t xml:space="preserve">Netlify rate-limit rules or a CDN WAF in front of the site.</t>
  </si>
  <si>
    <t xml:space="preserve">Brute-force traffic stopped before it costs compute.</t>
  </si>
  <si>
    <t xml:space="preserve">U-01</t>
  </si>
  <si>
    <t xml:space="preserve">No navigation on mobile</t>
  </si>
  <si>
    <t xml:space="preserve">The sidebar is hidden below the md breakpoint and the mobile header only has 'BSA' and Logout — a broker on a phone can't reach Intake, Screening or Reports.</t>
  </si>
  <si>
    <t xml:space="preserve">Add a mobile menu (drawer) using the same SidebarNav items.</t>
  </si>
  <si>
    <t xml:space="preserve">components/MobileNav.tsx (button + slide-over), rendered in app/(app)/layout.tsx header; test at 375 px.</t>
  </si>
  <si>
    <t xml:space="preserve">Field brokers can use BSA fully on a phone.</t>
  </si>
  <si>
    <t xml:space="preserve">01 Senior Web · 07 Broker</t>
  </si>
  <si>
    <t xml:space="preserve">U-02</t>
  </si>
  <si>
    <t xml:space="preserve">Proxy corridor can't be corrected by the user</t>
  </si>
  <si>
    <t xml:space="preserve">When no corridor matches, the Lease tab says it's a proxy but offers no way to pick the right corridor.</t>
  </si>
  <si>
    <t xml:space="preserve">Add a corridor picker on the Lease tab (list from lease_comp corridors for the site's region).</t>
  </si>
  <si>
    <t xml:space="preserve">GET /api/lease-benchmark/corridors?region=; select on LeaseTab; re-benchmark via existing POST.</t>
  </si>
  <si>
    <t xml:space="preserve">Brokers fix the benchmark themselves instead of getting a proxy.</t>
  </si>
  <si>
    <t xml:space="preserve">01 Senior Web · 03 API</t>
  </si>
  <si>
    <t xml:space="preserve">U-03</t>
  </si>
  <si>
    <t xml:space="preserve">Territory map ring colour can lag the verdict</t>
  </si>
  <si>
    <t xml:space="preserve">Noted in QA: the map ring uses the map component's own verdict and can show green while the stats say 'Redistributes'.</t>
  </si>
  <si>
    <t xml:space="preserve">Pass the blended verdict into TerritoryMap.</t>
  </si>
  <si>
    <t xml:space="preserve">One prop change in SiteIntelligenceTabs → TerritoryMap.</t>
  </si>
  <si>
    <t xml:space="preserve">Map and verdict always agree.</t>
  </si>
  <si>
    <t xml:space="preserve">U-04</t>
  </si>
  <si>
    <t xml:space="preserve">Stale AI write-up after saving an asking rent</t>
  </si>
  <si>
    <t xml:space="preserve">Saving a rent updates the score, but the cached write-up still describes the old lease read (the user is told to regenerate).</t>
  </si>
  <si>
    <t xml:space="preserve">Mark the analysis stale when module results change and offer a one-click refresh (not counted against the regenerate cap).</t>
  </si>
  <si>
    <t xml:space="preserve">On lease save / re-run, set analysis payload.stale = true; Analysis tab shows a 'Figures changed — refresh' banner; generation with reason 'stale' bypasses the cap.</t>
  </si>
  <si>
    <t xml:space="preserve">The write-up never contradicts the numbers on screen.</t>
  </si>
  <si>
    <t xml:space="preserve">10 AI Systems · 01 Senior Web</t>
  </si>
  <si>
    <t xml:space="preserve">Expanding BSA to Cavite &amp; Batangas — getting the data (Overpass API + official sources) into Neon Postgres</t>
  </si>
  <si>
    <t xml:space="preserve">OpenStreetMap via the Overpass API gives establishments, malls, transport and (partly) barangay boundaries/populations. Population, zonal values, lease comps and traffic come from official or broker sources. Every step writes to the existing Neon tables through idempotent loaders, keeps its Truth Layer, and is re-runnable. Overpass is a shared free service: stay under ~10,000 queries and ~1 GB per day, run sequentially with pauses, and credit OpenStreetMap (ODbL).</t>
  </si>
  <si>
    <t xml:space="preserve">Step</t>
  </si>
  <si>
    <t xml:space="preserve">Phase</t>
  </si>
  <si>
    <t xml:space="preserve">What</t>
  </si>
  <si>
    <t xml:space="preserve">Source / API</t>
  </si>
  <si>
    <t xml:space="preserve">How (method)</t>
  </si>
  <si>
    <t xml:space="preserve">Neon table(s) written</t>
  </si>
  <si>
    <t xml:space="preserve">Truth Layer</t>
  </si>
  <si>
    <t xml:space="preserve">Done when (desired outcome)</t>
  </si>
  <si>
    <t xml:space="preserve">1</t>
  </si>
  <si>
    <t xml:space="preserve">0 · Prepare</t>
  </si>
  <si>
    <t xml:space="preserve">Region registry + schema columns</t>
  </si>
  <si>
    <t xml:space="preserve">—</t>
  </si>
  <si>
    <t xml:space="preserve">Define Cavite and Batangas once: PSGC province codes, bounding boxes, Overpass area names, warm-grid centres, corridor names.</t>
  </si>
  <si>
    <t xml:space="preserve">lib/geo/regions.ts (see Backlog R-01). Migration: add region, province, psgc_code to poi, candidate_site, mall_property; add admin_boundary table (R-02). CLI flag --region=cavite|batangas on ingest scripts.</t>
  </si>
  <si>
    <t xml:space="preserve">(schema only)</t>
  </si>
  <si>
    <t xml:space="preserve">npx prisma migrate deploy applies cleanly on Neon; npm run typecheck passes.</t>
  </si>
  <si>
    <t xml:space="preserve">2</t>
  </si>
  <si>
    <t xml:space="preserve">1 · Boundaries</t>
  </si>
  <si>
    <t xml:space="preserve">Barangay / city / province polygons</t>
  </si>
  <si>
    <t xml:space="preserve">PSGC shapefiles (altcoder/philippines-psgc-shapefiles, PSGC Q4-2023, MIT). Cross-check: OSM boundary=administrative, admin_level=4 (province) / 10 (barangay).</t>
  </si>
  <si>
    <t xml:space="preserve">Download PH_Adm2/Adm3/Adm4 shapefiles; filter to Cavite and Batangas by PSGC province code; convert to GeoJSON (ogr2ogr) and load. Use OSM relations only to fill gaps.</t>
  </si>
  <si>
    <t xml:space="preserve">prisma/loadBoundaries.ts --region=… : read GeoJSON → INSERT … ON CONFLICT (psgc_code) with ST_GeomFromGeoJSON → GiST index. Verify counts vs PSA barangay lists.</t>
  </si>
  <si>
    <t xml:space="preserve">admin_boundary</t>
  </si>
  <si>
    <t xml:space="preserve">Verified (official PSGC)</t>
  </si>
  <si>
    <t xml:space="preserve">Every Cavite/Batangas barangay has a polygon; ST_Contains returns one barangay for any point in the province.</t>
  </si>
  <si>
    <t xml:space="preserve">3</t>
  </si>
  <si>
    <t xml:space="preserve">2 · Establishments (Overpass)</t>
  </si>
  <si>
    <t xml:space="preserve">Competitor POIs for all 20 verticals</t>
  </si>
  <si>
    <t xml:space="preserve">Overpass API (overpass-api.de + 2 mirrors already configured)</t>
  </si>
  <si>
    <t xml:space="preserve">Query per province area (area["admin_level"="4"]["name"=…]) or per tile inside the province bbox; one vertical per query; out center; adaptive split when a tile hits the result cap. 2.5 s pause between calls; resume from poi_coverage checkpoints.</t>
  </si>
  <si>
    <t xml:space="preserve">Extend prisma/ingestOsm.ts: --region, tile loop (R-03), write via loadPoi (upsert on osm_id), stamp poi_coverage(source='bulk'). Then SQL snap: UPDATE poi SET barangay/city/province/psgc_code FROM admin_boundary WHERE ST_Contains(geom, poi.geom).</t>
  </si>
  <si>
    <t xml:space="preserve">poi, poi_coverage</t>
  </si>
  <si>
    <t xml:space="preserve">Verified (coordinates) · category mapping Assumed</t>
  </si>
  <si>
    <t xml:space="preserve">Per-vertical counts logged per tile; no tile at the cap; POIs carry barangay + city.</t>
  </si>
  <si>
    <t xml:space="preserve">4</t>
  </si>
  <si>
    <t xml:space="preserve">Brand branches (≈70 chains)</t>
  </si>
  <si>
    <t xml:space="preserve">Overpass API — brand / name / brand:wikidata tags</t>
  </si>
  <si>
    <t xml:space="preserve">Run the existing BRAND_PULL list against each province area.</t>
  </si>
  <si>
    <t xml:space="preserve">ingestOsm.ts --region=… --brands (existing brandBranchesInBbox, bbox → region).</t>
  </si>
  <si>
    <t xml:space="preserve">poi</t>
  </si>
  <si>
    <t xml:space="preserve">Verified (coordinates)</t>
  </si>
  <si>
    <t xml:space="preserve">Known chains (Jollibee, Mercury Drug, 7-Eleven, Puregold…) mapped in both provinces.</t>
  </si>
  <si>
    <t xml:space="preserve">5</t>
  </si>
  <si>
    <t xml:space="preserve">Transport + anchors for access/traffic proxies</t>
  </si>
  <si>
    <t xml:space="preserve">Overpass: public_transport, railway=station, amenity=bus_station, office=*, shop=mall</t>
  </si>
  <si>
    <t xml:space="preserve">One sweep per category per province (lower density → fewer tiles).</t>
  </si>
  <si>
    <t xml:space="preserve">osmService selectors for transport/office/mall already exist → categories 'transport', 'office', 'mall'. Feeds D-01 accessibility pillar and the Land traffic fallback.</t>
  </si>
  <si>
    <t xml:space="preserve">Verified</t>
  </si>
  <si>
    <t xml:space="preserve">Transport and office anchors present; Land module no longer 'unknown traffic' in town centres.</t>
  </si>
  <si>
    <t xml:space="preserve">6</t>
  </si>
  <si>
    <t xml:space="preserve">3 · Malls</t>
  </si>
  <si>
    <t xml:space="preserve">Mall list with tier + footfall</t>
  </si>
  <si>
    <t xml:space="preserve">Overpass shop=mall (names + coordinates) + broker review</t>
  </si>
  <si>
    <t xml:space="preserve">Pull malls, export a review sheet, broker assigns tier (A/B/C) and footfall band, then load.</t>
  </si>
  <si>
    <t xml:space="preserve">scripts/exportMalls.ts --region=… → CSV → reviewed → prisma/data/malls.&lt;region&gt;.json → loadMalls (upsert on name + city).</t>
  </si>
  <si>
    <t xml:space="preserve">mall_property</t>
  </si>
  <si>
    <t xml:space="preserve">Coordinates Verified · tier/footfall Assumed</t>
  </si>
  <si>
    <t xml:space="preserve">Mall module scores Cavite/Batangas sites within 3 km of a mall.</t>
  </si>
  <si>
    <t xml:space="preserve">7</t>
  </si>
  <si>
    <t xml:space="preserve">4 · Demographics</t>
  </si>
  <si>
    <t xml:space="preserve">Barangay population (and estimated bands)</t>
  </si>
  <si>
    <t xml:space="preserve">PSA 2020 Census of Population &amp; Housing (Region IV-A barangay tables). Cross-check: OSM place nodes with population=* and ref (PSGC).</t>
  </si>
  <si>
    <t xml:space="preserve">Match PSA rows to admin_boundary by PSGC code; add income band (PSA FIES/regional proxies) and daytime population estimates as Assumed.</t>
  </si>
  <si>
    <t xml:space="preserve">ETL → prisma/data/demographics.&lt;region&gt;.json (psgc_code, barangay, city, population, income_band, daytime_pop, truth_layer per field) → loadDemographics with geom from admin_boundary (replaces the 600 m circle).</t>
  </si>
  <si>
    <t xml:space="preserve">demographic_cell</t>
  </si>
  <si>
    <t xml:space="preserve">Population Verified · bands Assumed</t>
  </si>
  <si>
    <t xml:space="preserve">Site Fit, Daypart and White-Space score provincial sites; confidence no longer forced Low.</t>
  </si>
  <si>
    <t xml:space="preserve">8</t>
  </si>
  <si>
    <t xml:space="preserve">5 · Zonal values</t>
  </si>
  <si>
    <t xml:space="preserve">BIR zonal values</t>
  </si>
  <si>
    <t xml:space="preserve">BIR zonal schedules — RDO 54A (Trece Martires, East Cavite), RDO 54B (Bacoor, West Cavite), RDO 58 &amp; 59 (Batangas)</t>
  </si>
  <si>
    <t xml:space="preserve">Download the latest schedules; run the NCR zonal ETL (label canonicalisation, ₱ parsing, barangay + city grain).</t>
  </si>
  <si>
    <t xml:space="preserve">Generalise the zonal ETL (--region); canonicalCity for provincial LGUs; loadZonal (natural key region+city+barangay+rdo+class).</t>
  </si>
  <si>
    <t xml:space="preserve">zonal_value</t>
  </si>
  <si>
    <t xml:space="preserve">Verified (BIR) — tax-reference floor only</t>
  </si>
  <si>
    <t xml:space="preserve">Zonal band + cross-check shown for provincial sites; zoning screen not 'unknown'.</t>
  </si>
  <si>
    <t xml:space="preserve">9</t>
  </si>
  <si>
    <t xml:space="preserve">6 · Lease comps</t>
  </si>
  <si>
    <t xml:space="preserve">Corridor rent comparables</t>
  </si>
  <si>
    <t xml:space="preserve">Grid broker network · public listings (verify) · signed leases</t>
  </si>
  <si>
    <t xml:space="preserve">Collect ≥5 comps per corridor × format; record observed_date and source.</t>
  </si>
  <si>
    <t xml:space="preserve">Capture template → prisma/data/lease.&lt;region&gt;.json → loadLease; add corridors to the region registry + inferCorridor(region).</t>
  </si>
  <si>
    <t xml:space="preserve">lease_comp</t>
  </si>
  <si>
    <t xml:space="preserve">Verified only for confirmed leases · else Assumed</t>
  </si>
  <si>
    <t xml:space="preserve">Lease Benchmark uses local corridors; proxy flag gone for covered corridors.</t>
  </si>
  <si>
    <t xml:space="preserve">10</t>
  </si>
  <si>
    <t xml:space="preserve">7 · Traffic</t>
  </si>
  <si>
    <t xml:space="preserve">Arterial traffic bands</t>
  </si>
  <si>
    <t xml:space="preserve">DPWH AADT counts; seasonal multipliers per existing model</t>
  </si>
  <si>
    <t xml:space="preserve">Add the main provincial arterials as corridors with AADT-anchored bands.</t>
  </si>
  <si>
    <t xml:space="preserve">Append rows to prisma/data/trafficSeasonality.real.json → npm run db:seed-traffic.</t>
  </si>
  <si>
    <t xml:space="preserve">traffic_corridor</t>
  </si>
  <si>
    <t xml:space="preserve">Assumed (AADT-anchored)</t>
  </si>
  <si>
    <t xml:space="preserve">Land &amp; Traffic uses corridor bands for key roads.</t>
  </si>
  <si>
    <t xml:space="preserve">11</t>
  </si>
  <si>
    <t xml:space="preserve">8 · Wire up</t>
  </si>
  <si>
    <t xml:space="preserve">Resolvers, warm grid, UI</t>
  </si>
  <si>
    <t xml:space="preserve">Make runtime lookups region-aware and pre-warm the on-demand cache for busy provincial centres.</t>
  </si>
  <si>
    <t xml:space="preserve">inferCorridor/canonicalCity by region; region warm centres (e.g. Imus, Dasmariñas, Bacoor, General Trias, Tagaytay, Batangas City, Lipa, Sto. Tomas); /api/admin/warm accepts area:'cavite'|'batangas'.</t>
  </si>
  <si>
    <t xml:space="preserve">poi_coverage</t>
  </si>
  <si>
    <t xml:space="preserve">A new Cavite/Batangas site loads without cold-cache delays.</t>
  </si>
  <si>
    <t xml:space="preserve">12</t>
  </si>
  <si>
    <t xml:space="preserve">9 · Validate</t>
  </si>
  <si>
    <t xml:space="preserve">Data checks + journey QA</t>
  </si>
  <si>
    <t xml:space="preserve">Run validators and scripted journeys; compare counts to known totals.</t>
  </si>
  <si>
    <t xml:space="preserve">npm run db:validate (extend with per-region checks: barangays with population, POIs per 10k people, comps per corridor); qa_calabarzon.ts (Backlog R-08).</t>
  </si>
  <si>
    <t xml:space="preserve">Validation report clean; QA scenarios pass; results logged in WORKLOG.</t>
  </si>
  <si>
    <t xml:space="preserve">Overpass QL templates (to be wrapped by lib/places/osmService.ts)</t>
  </si>
  <si>
    <t xml:space="preserve">Test any query at overpass-turbo.eu first. Keep [timeout:90]; one vertical per query; sequential runs with ~2.5 s pauses (already the ingest default). Replace {BBOX} with south,west,north,east of a tile.</t>
  </si>
  <si>
    <t xml:space="preserve">Purpose</t>
  </si>
  <si>
    <t xml:space="preserve">Overpass QL</t>
  </si>
  <si>
    <t xml:space="preserve">Notes</t>
  </si>
  <si>
    <t xml:space="preserve">Maps to</t>
  </si>
  <si>
    <t xml:space="preserve">Province area handle (Cavite)</t>
  </si>
  <si>
    <t xml:space="preserve">[out:json][timeout:90];
area["boundary"="administrative"]["admin_level"="4"]["name"="Cavite"]-&gt;.prov;
nwr["amenity"~"^(fast_food|restaurant|cafe)$"](area.prov);
out center 2000;</t>
  </si>
  <si>
    <t xml:space="preserve">Province = admin_level 4 in OSM Philippines. Use name="Batangas" for Batangas. Area queries are simplest but can time out for dense categories — prefer tiles for food/retail.</t>
  </si>
  <si>
    <t xml:space="preserve">poi (competitor)</t>
  </si>
  <si>
    <t xml:space="preserve">Tiled sweep (preferred for dense verticals)</t>
  </si>
  <si>
    <t xml:space="preserve">[out:json][timeout:90];
(
  nwr["amenity"="pharmacy"]({BBOX});
  nwr["healthcare"="pharmacy"]({BBOX});
);
out center 600;</t>
  </si>
  <si>
    <t xml:space="preserve">Tile ~0.05°–0.1°. If the result count equals the limit, split the tile into 4 and re-query. Clip results to the province polygon in SQL afterwards.</t>
  </si>
  <si>
    <t xml:space="preserve">Brand branches</t>
  </si>
  <si>
    <t xml:space="preserve">[out:json][timeout:90];
area["admin_level"="4"]["name"="Batangas"]-&gt;.prov;
nwr["brand"~"Jollibee",i](area.prov);
nwr["name"~"Jollibee",i](area.prov);
out center 300;</t>
  </si>
  <si>
    <t xml:space="preserve">Same pattern as the existing BRAND_PULL; add brand:wikidata where known for precision.</t>
  </si>
  <si>
    <t xml:space="preserve">Malls</t>
  </si>
  <si>
    <t xml:space="preserve">[out:json][timeout:90];
area["admin_level"="4"]["name"="Cavite"]-&gt;.prov;
nwr["shop"="mall"](area.prov);
out center;</t>
  </si>
  <si>
    <t xml:space="preserve">Export for broker tier/footfall review before loading.</t>
  </si>
  <si>
    <t xml:space="preserve">Transport anchors</t>
  </si>
  <si>
    <t xml:space="preserve">[out:json][timeout:90];
area["admin_level"="4"]["name"="Cavite"]-&gt;.prov;
(
  nwr["public_transport"="station"](area.prov);
  nwr["amenity"="bus_station"](area.prov);
  nwr["railway"="station"](area.prov);
);
out center;</t>
  </si>
  <si>
    <t xml:space="preserve">Feeds the Site Fit accessibility pillar (Backlog D-01) and the Land traffic fallback.</t>
  </si>
  <si>
    <t xml:space="preserve">poi (transport)</t>
  </si>
  <si>
    <t xml:space="preserve">Barangay boundaries (cross-check)</t>
  </si>
  <si>
    <t xml:space="preserve">[out:json][timeout:180];
area["admin_level"="4"]["name"="Batangas"]-&gt;.prov;
rel["boundary"="administrative"]["admin_level"="10"](area.prov);
out geom;</t>
  </si>
  <si>
    <t xml:space="preserve">Barangay = admin_level 10 (admin_type:PH=barangay). OSM coverage is uneven outside Metro Manila — use PSGC shapefiles as the primary source.</t>
  </si>
  <si>
    <t xml:space="preserve">admin_boundary (gap-fill)</t>
  </si>
  <si>
    <t xml:space="preserve">Barangay place nodes with population (cross-check)</t>
  </si>
  <si>
    <t xml:space="preserve">[out:json][timeout:90];
area["admin_level"="4"]["name"="Cavite"]-&gt;.prov;
node["place"]["population"](area.prov);
out;</t>
  </si>
  <si>
    <t xml:space="preserve">PH mapping convention adds population + PSGC ref to barangay place nodes where mapped. Use only to sanity-check PSA figures.</t>
  </si>
  <si>
    <t xml:space="preserve">demographic_cell (QA only)</t>
  </si>
  <si>
    <t xml:space="preserve">Reference data coverage by area (today) and where the missing data comes from</t>
  </si>
  <si>
    <t xml:space="preserve">Dataset</t>
  </si>
  <si>
    <t xml:space="preserve">Neon table</t>
  </si>
  <si>
    <t xml:space="preserve">NCR</t>
  </si>
  <si>
    <t xml:space="preserve">Davao</t>
  </si>
  <si>
    <t xml:space="preserve">Cavite</t>
  </si>
  <si>
    <t xml:space="preserve">Batangas</t>
  </si>
  <si>
    <t xml:space="preserve">Source to fill gaps</t>
  </si>
  <si>
    <t xml:space="preserve">Truth Layer when loaded</t>
  </si>
  <si>
    <t xml:space="preserve">Establishments / competitors</t>
  </si>
  <si>
    <t xml:space="preserve">Bulk NCR sweep + on-demand cache (capped per query)</t>
  </si>
  <si>
    <t xml:space="preserve">Partial (populate --region=davao)</t>
  </si>
  <si>
    <t xml:space="preserve">On-demand cache only (per report, ~1 km cells)</t>
  </si>
  <si>
    <t xml:space="preserve">On-demand cache only</t>
  </si>
  <si>
    <t xml:space="preserve">Overpass tiled sweep (Plan steps 3–5)</t>
  </si>
  <si>
    <t xml:space="preserve">Verified coordinates</t>
  </si>
  <si>
    <t xml:space="preserve">Administrative boundaries</t>
  </si>
  <si>
    <t xml:space="preserve">(new) admin_boundary</t>
  </si>
  <si>
    <t xml:space="preserve">None — 600 m circles</t>
  </si>
  <si>
    <t xml:space="preserve">None</t>
  </si>
  <si>
    <t xml:space="preserve">PSGC shapefiles; OSM admin_level 4/10 cross-check</t>
  </si>
  <si>
    <t xml:space="preserve">Demographics</t>
  </si>
  <si>
    <t xml:space="preserve">283 barangays (Assumed)</t>
  </si>
  <si>
    <t xml:space="preserve">13 cells</t>
  </si>
  <si>
    <t xml:space="preserve">PSA 2020 CPH barangay tables</t>
  </si>
  <si>
    <t xml:space="preserve">2,317 rows (San Juan + Valenzuela bgy missing)</t>
  </si>
  <si>
    <t xml:space="preserve">BIR RDO 54A / 54B</t>
  </si>
  <si>
    <t xml:space="preserve">BIR RDO 58 / 59</t>
  </si>
  <si>
    <t xml:space="preserve">Lease comparables</t>
  </si>
  <si>
    <t xml:space="preserve">~15 corridors, 80 comps (NCR + Davao)</t>
  </si>
  <si>
    <t xml:space="preserve">Included in the 15</t>
  </si>
  <si>
    <t xml:space="preserve">None (Bacoor → Las Piñas proxy; else QC proxy)</t>
  </si>
  <si>
    <t xml:space="preserve">None (QC proxy)</t>
  </si>
  <si>
    <t xml:space="preserve">Broker network + confirmed leases</t>
  </si>
  <si>
    <t xml:space="preserve">Verified if confirmed · else Assumed</t>
  </si>
  <si>
    <t xml:space="preserve">33 NCR malls</t>
  </si>
  <si>
    <t xml:space="preserve">Overpass shop=mall + broker tiering</t>
  </si>
  <si>
    <t xml:space="preserve">Coords Verified · tier Assumed</t>
  </si>
  <si>
    <t xml:space="preserve">Traffic corridors</t>
  </si>
  <si>
    <t xml:space="preserve">NCR corridors (of 15)</t>
  </si>
  <si>
    <t xml:space="preserve">Davao corridors (of 15)</t>
  </si>
  <si>
    <t xml:space="preserve">DPWH AADT</t>
  </si>
  <si>
    <t xml:space="preserve">Assumed</t>
  </si>
  <si>
    <t xml:space="preserve">Competitor sets</t>
  </si>
  <si>
    <t xml:space="preserve">competitor_set</t>
  </si>
  <si>
    <t xml:space="preserve">National (89 anchors)</t>
  </si>
  <si>
    <t xml:space="preserve">National</t>
  </si>
  <si>
    <t xml:space="preserve">As loaded</t>
  </si>
  <si>
    <t xml:space="preserve">Franchise requirements</t>
  </si>
  <si>
    <t xml:space="preserve">franchisor.requirements</t>
  </si>
  <si>
    <t xml:space="preserve">National (161 brands)</t>
  </si>
  <si>
    <t xml:space="preserve">Note: 'None' means sites there fall back to proxies (flagged Projected in the app) or leave the module unscored.</t>
  </si>
  <si>
    <t xml:space="preserve">Sources</t>
  </si>
  <si>
    <t xml:space="preserve">Topic</t>
  </si>
  <si>
    <t xml:space="preserve">Reference</t>
  </si>
  <si>
    <t xml:space="preserve">Used for</t>
  </si>
  <si>
    <t xml:space="preserve">Overpass usage guidance</t>
  </si>
  <si>
    <t xml:space="preserve">https://dev.overpass-api.de/overpass-doc/en/preface/commons.html</t>
  </si>
  <si>
    <t xml:space="preserve">~10,000 requests/day and ~1 GB/day guideline; run own instance if more is needed</t>
  </si>
  <si>
    <t xml:space="preserve">OSM PH barangay tagging</t>
  </si>
  <si>
    <t xml:space="preserve">https://wiki.openstreetmap.org/wiki/Tag:admin_type:PH=barangay</t>
  </si>
  <si>
    <t xml:space="preserve">Barangay = admin_level 10; optional population and PSGC ref tags</t>
  </si>
  <si>
    <t xml:space="preserve">OSM PH mapping conventions</t>
  </si>
  <si>
    <t xml:space="preserve">https://wiki.openstreetmap.org/wiki/Philippines/Mapping_conventions</t>
  </si>
  <si>
    <t xml:space="preserve">Province = admin_level 4 boundaries</t>
  </si>
  <si>
    <t xml:space="preserve">PSGC boundary shapefiles</t>
  </si>
  <si>
    <t xml:space="preserve">https://github.com/altcoder/philippines-psgc-shapefiles</t>
  </si>
  <si>
    <t xml:space="preserve">Region/province/city/barangay polygons (PSGC Q4-2023, MIT licence)</t>
  </si>
  <si>
    <t xml:space="preserve">PSA 2020 CPH — CALABARZON</t>
  </si>
  <si>
    <t xml:space="preserve">https://psa.gov.ph/content/highlights-region-iv-calabarzon-population-2020-census-population-and-housing-2020-cph</t>
  </si>
  <si>
    <t xml:space="preserve">Cavite 4,344,829 and Batangas 2,908,494 (2020); barangay tables for demographics</t>
  </si>
  <si>
    <t xml:space="preserve">https://www.bir.gov.ph/zonal-values</t>
  </si>
  <si>
    <t xml:space="preserve">Schedules for RDO 54A, 54B (Cavite) and 58, 59 (Batangas)</t>
  </si>
  <si>
    <t xml:space="preserve">RDO 54 split (54A / 54B)</t>
  </si>
  <si>
    <t xml:space="preserve">https://www.scribd.com/document/412950747/RDO-No-54B-Bacoor-City-West-Cavite</t>
  </si>
  <si>
    <t xml:space="preserve">Which Cavite LGUs fall under each RDO (verify against the BIR page)</t>
  </si>
  <si>
    <t xml:space="preserve">OpenStreetMap licence</t>
  </si>
  <si>
    <t xml:space="preserve">https://www.openstreetmap.org/copyright</t>
  </si>
  <si>
    <t xml:space="preserve">ODbL attribution required wherever OSM-derived data is shown</t>
  </si>
  <si>
    <t xml:space="preserve">Internal</t>
  </si>
  <si>
    <t xml:space="preserve">4 - Final Application: WORKLOG.md, PROJECT_MEMORY.md, docs/HANDOFF.md, docs/SECURITY_POSTURE.md</t>
  </si>
  <si>
    <t xml:space="preserve">Open items from the 23 Sep 2026 review and fix batches 1–5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</si>
</sst>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sz val="9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7D6"/>
        <bgColor rgb="FFF7F9FC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ont>
        <name val="Arial"/>
        <charset val="1"/>
        <family val="0"/>
        <b val="1"/>
        <color rgb="FFB42318"/>
        <sz val="9"/>
      </font>
    </dxf>
    <dxf>
      <fill>
        <patternFill>
          <bgColor rgb="FFD1FADF"/>
        </patternFill>
      </fill>
    </dxf>
    <dxf>
      <fill>
        <patternFill>
          <bgColor rgb="FFFEE4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F7F9FC"/>
      <rgbColor rgb="FF660066"/>
      <rgbColor rgb="FFFF8080"/>
      <rgbColor rgb="FF0066CC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DF"/>
      <rgbColor rgb="FFFFFF99"/>
      <rgbColor rgb="FF99CCFF"/>
      <rgbColor rgb="FFFF99CC"/>
      <rgbColor rgb="FFCC99FF"/>
      <rgbColor rgb="FFFEE4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n">
        <f aca="false">COUNTIFS('Improvement Backlog'!$B$5:$B$40,$A6,'Improvement Backlog'!$H$5:$H$40,"P1")</f>
        <v>4</v>
      </c>
      <c r="C6" s="5" t="n">
        <f aca="false">COUNTIFS('Improvement Backlog'!$B$5:$B$40,$A6,'Improvement Backlog'!$H$5:$H$40,"P2")</f>
        <v>4</v>
      </c>
      <c r="D6" s="5" t="n">
        <f aca="false">COUNTIFS('Improvement Backlog'!$B$5:$B$40,$A6,'Improvement Backlog'!$H$5:$H$40,"P3")</f>
        <v>0</v>
      </c>
      <c r="E6" s="5" t="n">
        <f aca="false">SUM(B6:D6)</f>
        <v>8</v>
      </c>
      <c r="F6" s="5" t="n">
        <f aca="false">COUNTIFS('Improvement Backlog'!$B$5:$B$40,$A6,'Improvement Backlog'!$L$5:$L$40,"Approve")</f>
        <v>0</v>
      </c>
    </row>
    <row r="7" customFormat="false" ht="15" hidden="false" customHeight="false" outlineLevel="0" collapsed="false">
      <c r="A7" s="5" t="s">
        <v>10</v>
      </c>
      <c r="B7" s="5" t="n">
        <f aca="false">COUNTIFS('Improvement Backlog'!$B$5:$B$40,$A7,'Improvement Backlog'!$H$5:$H$40,"P1")</f>
        <v>0</v>
      </c>
      <c r="C7" s="5" t="n">
        <f aca="false">COUNTIFS('Improvement Backlog'!$B$5:$B$40,$A7,'Improvement Backlog'!$H$5:$H$40,"P2")</f>
        <v>4</v>
      </c>
      <c r="D7" s="5" t="n">
        <f aca="false">COUNTIFS('Improvement Backlog'!$B$5:$B$40,$A7,'Improvement Backlog'!$H$5:$H$40,"P3")</f>
        <v>3</v>
      </c>
      <c r="E7" s="5" t="n">
        <f aca="false">SUM(B7:D7)</f>
        <v>7</v>
      </c>
      <c r="F7" s="5" t="n">
        <f aca="false">COUNTIFS('Improvement Backlog'!$B$5:$B$40,$A7,'Improvement Backlog'!$L$5:$L$40,"Approve")</f>
        <v>0</v>
      </c>
    </row>
    <row r="8" customFormat="false" ht="15" hidden="false" customHeight="false" outlineLevel="0" collapsed="false">
      <c r="A8" s="5" t="s">
        <v>11</v>
      </c>
      <c r="B8" s="5" t="n">
        <f aca="false">COUNTIFS('Improvement Backlog'!$B$5:$B$40,$A8,'Improvement Backlog'!$H$5:$H$40,"P1")</f>
        <v>2</v>
      </c>
      <c r="C8" s="5" t="n">
        <f aca="false">COUNTIFS('Improvement Backlog'!$B$5:$B$40,$A8,'Improvement Backlog'!$H$5:$H$40,"P2")</f>
        <v>1</v>
      </c>
      <c r="D8" s="5" t="n">
        <f aca="false">COUNTIFS('Improvement Backlog'!$B$5:$B$40,$A8,'Improvement Backlog'!$H$5:$H$40,"P3")</f>
        <v>1</v>
      </c>
      <c r="E8" s="5" t="n">
        <f aca="false">SUM(B8:D8)</f>
        <v>4</v>
      </c>
      <c r="F8" s="5" t="n">
        <f aca="false">COUNTIFS('Improvement Backlog'!$B$5:$B$40,$A8,'Improvement Backlog'!$L$5:$L$40,"Approve")</f>
        <v>0</v>
      </c>
    </row>
    <row r="9" customFormat="false" ht="15" hidden="false" customHeight="false" outlineLevel="0" collapsed="false">
      <c r="A9" s="5" t="s">
        <v>12</v>
      </c>
      <c r="B9" s="5" t="n">
        <f aca="false">COUNTIFS('Improvement Backlog'!$B$5:$B$40,$A9,'Improvement Backlog'!$H$5:$H$40,"P1")</f>
        <v>0</v>
      </c>
      <c r="C9" s="5" t="n">
        <f aca="false">COUNTIFS('Improvement Backlog'!$B$5:$B$40,$A9,'Improvement Backlog'!$H$5:$H$40,"P2")</f>
        <v>4</v>
      </c>
      <c r="D9" s="5" t="n">
        <f aca="false">COUNTIFS('Improvement Backlog'!$B$5:$B$40,$A9,'Improvement Backlog'!$H$5:$H$40,"P3")</f>
        <v>1</v>
      </c>
      <c r="E9" s="5" t="n">
        <f aca="false">SUM(B9:D9)</f>
        <v>5</v>
      </c>
      <c r="F9" s="5" t="n">
        <f aca="false">COUNTIFS('Improvement Backlog'!$B$5:$B$40,$A9,'Improvement Backlog'!$L$5:$L$40,"Approve")</f>
        <v>0</v>
      </c>
    </row>
    <row r="10" customFormat="false" ht="15" hidden="false" customHeight="false" outlineLevel="0" collapsed="false">
      <c r="A10" s="5" t="s">
        <v>13</v>
      </c>
      <c r="B10" s="5" t="n">
        <f aca="false">COUNTIFS('Improvement Backlog'!$B$5:$B$40,$A10,'Improvement Backlog'!$H$5:$H$40,"P1")</f>
        <v>3</v>
      </c>
      <c r="C10" s="5" t="n">
        <f aca="false">COUNTIFS('Improvement Backlog'!$B$5:$B$40,$A10,'Improvement Backlog'!$H$5:$H$40,"P2")</f>
        <v>1</v>
      </c>
      <c r="D10" s="5" t="n">
        <f aca="false">COUNTIFS('Improvement Backlog'!$B$5:$B$40,$A10,'Improvement Backlog'!$H$5:$H$40,"P3")</f>
        <v>0</v>
      </c>
      <c r="E10" s="5" t="n">
        <f aca="false">SUM(B10:D10)</f>
        <v>4</v>
      </c>
      <c r="F10" s="5" t="n">
        <f aca="false">COUNTIFS('Improvement Backlog'!$B$5:$B$40,$A10,'Improvement Backlog'!$L$5:$L$40,"Approve")</f>
        <v>0</v>
      </c>
    </row>
    <row r="11" customFormat="false" ht="15" hidden="false" customHeight="false" outlineLevel="0" collapsed="false">
      <c r="A11" s="5" t="s">
        <v>14</v>
      </c>
      <c r="B11" s="5" t="n">
        <f aca="false">COUNTIFS('Improvement Backlog'!$B$5:$B$40,$A11,'Improvement Backlog'!$H$5:$H$40,"P1")</f>
        <v>1</v>
      </c>
      <c r="C11" s="5" t="n">
        <f aca="false">COUNTIFS('Improvement Backlog'!$B$5:$B$40,$A11,'Improvement Backlog'!$H$5:$H$40,"P2")</f>
        <v>2</v>
      </c>
      <c r="D11" s="5" t="n">
        <f aca="false">COUNTIFS('Improvement Backlog'!$B$5:$B$40,$A11,'Improvement Backlog'!$H$5:$H$40,"P3")</f>
        <v>1</v>
      </c>
      <c r="E11" s="5" t="n">
        <f aca="false">SUM(B11:D11)</f>
        <v>4</v>
      </c>
      <c r="F11" s="5" t="n">
        <f aca="false">COUNTIFS('Improvement Backlog'!$B$5:$B$40,$A11,'Improvement Backlog'!$L$5:$L$40,"Approve")</f>
        <v>0</v>
      </c>
    </row>
    <row r="12" customFormat="false" ht="15" hidden="false" customHeight="false" outlineLevel="0" collapsed="false">
      <c r="A12" s="5" t="s">
        <v>15</v>
      </c>
      <c r="B12" s="5" t="n">
        <f aca="false">COUNTIFS('Improvement Backlog'!$B$5:$B$40,$A12,'Improvement Backlog'!$H$5:$H$40,"P1")</f>
        <v>1</v>
      </c>
      <c r="C12" s="5" t="n">
        <f aca="false">COUNTIFS('Improvement Backlog'!$B$5:$B$40,$A12,'Improvement Backlog'!$H$5:$H$40,"P2")</f>
        <v>3</v>
      </c>
      <c r="D12" s="5" t="n">
        <f aca="false">COUNTIFS('Improvement Backlog'!$B$5:$B$40,$A12,'Improvement Backlog'!$H$5:$H$40,"P3")</f>
        <v>0</v>
      </c>
      <c r="E12" s="5" t="n">
        <f aca="false">SUM(B12:D12)</f>
        <v>4</v>
      </c>
      <c r="F12" s="5" t="n">
        <f aca="false">COUNTIFS('Improvement Backlog'!$B$5:$B$40,$A12,'Improvement Backlog'!$L$5:$L$40,"Approve")</f>
        <v>0</v>
      </c>
    </row>
    <row r="13" customFormat="false" ht="15" hidden="false" customHeight="false" outlineLevel="0" collapsed="false">
      <c r="A13" s="6" t="s">
        <v>7</v>
      </c>
      <c r="B13" s="6" t="n">
        <f aca="false">SUM(B6:B12)</f>
        <v>11</v>
      </c>
      <c r="C13" s="6" t="n">
        <f aca="false">SUM(C6:C12)</f>
        <v>19</v>
      </c>
      <c r="D13" s="6" t="n">
        <f aca="false">SUM(D6:D12)</f>
        <v>6</v>
      </c>
      <c r="E13" s="6" t="n">
        <f aca="false">SUM(E6:E12)</f>
        <v>36</v>
      </c>
      <c r="F13" s="6" t="n">
        <f aca="false">SUM(F6:F12)</f>
        <v>0</v>
      </c>
    </row>
    <row r="15" customFormat="false" ht="15" hidden="false" customHeight="false" outlineLevel="0" collapsed="false">
      <c r="A15" s="3" t="s">
        <v>16</v>
      </c>
    </row>
    <row r="16" customFormat="false" ht="31.5" hidden="false" customHeight="true" outlineLevel="0" collapsed="false">
      <c r="A16" s="7" t="s">
        <v>17</v>
      </c>
      <c r="B16" s="7"/>
      <c r="C16" s="7"/>
      <c r="D16" s="7"/>
      <c r="E16" s="7"/>
      <c r="F16" s="7"/>
    </row>
    <row r="17" customFormat="false" ht="31.5" hidden="false" customHeight="true" outlineLevel="0" collapsed="false">
      <c r="A17" s="7" t="s">
        <v>18</v>
      </c>
      <c r="B17" s="7"/>
      <c r="C17" s="7"/>
      <c r="D17" s="7"/>
      <c r="E17" s="7"/>
      <c r="F17" s="7"/>
    </row>
    <row r="18" customFormat="false" ht="31.5" hidden="false" customHeight="true" outlineLevel="0" collapsed="false">
      <c r="A18" s="7" t="s">
        <v>19</v>
      </c>
      <c r="B18" s="7"/>
      <c r="C18" s="7"/>
      <c r="D18" s="7"/>
      <c r="E18" s="7"/>
      <c r="F18" s="7"/>
    </row>
    <row r="19" customFormat="false" ht="31.5" hidden="false" customHeight="true" outlineLevel="0" collapsed="false">
      <c r="A19" s="7" t="s">
        <v>20</v>
      </c>
      <c r="B19" s="7"/>
      <c r="C19" s="7"/>
      <c r="D19" s="7"/>
      <c r="E19" s="7"/>
      <c r="F19" s="7"/>
    </row>
    <row r="20" customFormat="false" ht="31.5" hidden="false" customHeight="true" outlineLevel="0" collapsed="false">
      <c r="A20" s="7" t="s">
        <v>21</v>
      </c>
      <c r="B20" s="7"/>
      <c r="C20" s="7"/>
      <c r="D20" s="7"/>
      <c r="E20" s="7"/>
      <c r="F20" s="7"/>
    </row>
    <row r="21" customFormat="false" ht="31.5" hidden="false" customHeight="true" outlineLevel="0" collapsed="false">
      <c r="A21" s="7" t="s">
        <v>22</v>
      </c>
      <c r="B21" s="7"/>
      <c r="C21" s="7"/>
      <c r="D21" s="7"/>
      <c r="E21" s="7"/>
      <c r="F21" s="7"/>
    </row>
  </sheetData>
  <mergeCells count="7">
    <mergeCell ref="A2:F2"/>
    <mergeCell ref="A16:F16"/>
    <mergeCell ref="A17:F17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52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6"/>
  </cols>
  <sheetData>
    <row r="1" customFormat="false" ht="17.35" hidden="false" customHeight="false" outlineLevel="0" collapsed="false">
      <c r="A1" s="8" t="s">
        <v>23</v>
      </c>
    </row>
    <row r="2" customFormat="false" ht="30" hidden="false" customHeight="true" outlineLevel="0" collapsed="false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customFormat="false" ht="30" hidden="false" customHeight="true" outlineLevel="0" collapsed="false">
      <c r="A4" s="4" t="s">
        <v>25</v>
      </c>
      <c r="B4" s="4" t="s">
        <v>3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36</v>
      </c>
    </row>
    <row r="5" customFormat="false" ht="109.5" hidden="false" customHeight="true" outlineLevel="0" collapsed="false">
      <c r="A5" s="10" t="s">
        <v>37</v>
      </c>
      <c r="B5" s="10" t="s">
        <v>9</v>
      </c>
      <c r="C5" s="10" t="s">
        <v>38</v>
      </c>
      <c r="D5" s="10" t="s">
        <v>39</v>
      </c>
      <c r="E5" s="10" t="s">
        <v>40</v>
      </c>
      <c r="F5" s="10" t="s">
        <v>41</v>
      </c>
      <c r="G5" s="10" t="s">
        <v>42</v>
      </c>
      <c r="H5" s="10" t="s">
        <v>4</v>
      </c>
      <c r="I5" s="10" t="s">
        <v>43</v>
      </c>
      <c r="J5" s="10" t="s">
        <v>44</v>
      </c>
      <c r="K5" s="10"/>
      <c r="L5" s="11"/>
      <c r="M5" s="10"/>
    </row>
    <row r="6" customFormat="false" ht="109.5" hidden="false" customHeight="true" outlineLevel="0" collapsed="false">
      <c r="A6" s="12" t="s">
        <v>45</v>
      </c>
      <c r="B6" s="12" t="s">
        <v>9</v>
      </c>
      <c r="C6" s="12" t="s">
        <v>46</v>
      </c>
      <c r="D6" s="12" t="s">
        <v>47</v>
      </c>
      <c r="E6" s="12" t="s">
        <v>48</v>
      </c>
      <c r="F6" s="12" t="s">
        <v>49</v>
      </c>
      <c r="G6" s="12" t="s">
        <v>50</v>
      </c>
      <c r="H6" s="12" t="s">
        <v>4</v>
      </c>
      <c r="I6" s="12" t="s">
        <v>43</v>
      </c>
      <c r="J6" s="12" t="s">
        <v>51</v>
      </c>
      <c r="K6" s="12"/>
      <c r="L6" s="11"/>
      <c r="M6" s="12"/>
    </row>
    <row r="7" customFormat="false" ht="109.5" hidden="false" customHeight="true" outlineLevel="0" collapsed="false">
      <c r="A7" s="10" t="s">
        <v>52</v>
      </c>
      <c r="B7" s="10" t="s">
        <v>9</v>
      </c>
      <c r="C7" s="10" t="s">
        <v>53</v>
      </c>
      <c r="D7" s="10" t="s">
        <v>54</v>
      </c>
      <c r="E7" s="10" t="s">
        <v>55</v>
      </c>
      <c r="F7" s="10" t="s">
        <v>56</v>
      </c>
      <c r="G7" s="10" t="s">
        <v>57</v>
      </c>
      <c r="H7" s="10" t="s">
        <v>4</v>
      </c>
      <c r="I7" s="10" t="s">
        <v>43</v>
      </c>
      <c r="J7" s="10" t="s">
        <v>58</v>
      </c>
      <c r="K7" s="10" t="s">
        <v>37</v>
      </c>
      <c r="L7" s="11"/>
      <c r="M7" s="10"/>
    </row>
    <row r="8" customFormat="false" ht="109.5" hidden="false" customHeight="true" outlineLevel="0" collapsed="false">
      <c r="A8" s="12" t="s">
        <v>59</v>
      </c>
      <c r="B8" s="12" t="s">
        <v>9</v>
      </c>
      <c r="C8" s="12" t="s">
        <v>60</v>
      </c>
      <c r="D8" s="12" t="s">
        <v>61</v>
      </c>
      <c r="E8" s="12" t="s">
        <v>62</v>
      </c>
      <c r="F8" s="12" t="s">
        <v>63</v>
      </c>
      <c r="G8" s="12" t="s">
        <v>64</v>
      </c>
      <c r="H8" s="12" t="s">
        <v>4</v>
      </c>
      <c r="I8" s="12" t="s">
        <v>43</v>
      </c>
      <c r="J8" s="12" t="s">
        <v>58</v>
      </c>
      <c r="K8" s="12" t="s">
        <v>45</v>
      </c>
      <c r="L8" s="11"/>
      <c r="M8" s="12"/>
    </row>
    <row r="9" customFormat="false" ht="109.5" hidden="false" customHeight="true" outlineLevel="0" collapsed="false">
      <c r="A9" s="10" t="s">
        <v>65</v>
      </c>
      <c r="B9" s="10" t="s">
        <v>9</v>
      </c>
      <c r="C9" s="10" t="s">
        <v>66</v>
      </c>
      <c r="D9" s="10" t="s">
        <v>67</v>
      </c>
      <c r="E9" s="10" t="s">
        <v>68</v>
      </c>
      <c r="F9" s="10" t="s">
        <v>69</v>
      </c>
      <c r="G9" s="10" t="s">
        <v>70</v>
      </c>
      <c r="H9" s="10" t="s">
        <v>5</v>
      </c>
      <c r="I9" s="10" t="s">
        <v>43</v>
      </c>
      <c r="J9" s="10" t="s">
        <v>71</v>
      </c>
      <c r="K9" s="10" t="s">
        <v>37</v>
      </c>
      <c r="L9" s="11"/>
      <c r="M9" s="10"/>
    </row>
    <row r="10" customFormat="false" ht="109.5" hidden="false" customHeight="true" outlineLevel="0" collapsed="false">
      <c r="A10" s="12" t="s">
        <v>72</v>
      </c>
      <c r="B10" s="12" t="s">
        <v>9</v>
      </c>
      <c r="C10" s="12" t="s">
        <v>73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5</v>
      </c>
      <c r="I10" s="12" t="s">
        <v>78</v>
      </c>
      <c r="J10" s="12" t="s">
        <v>79</v>
      </c>
      <c r="K10" s="12" t="s">
        <v>37</v>
      </c>
      <c r="L10" s="11"/>
      <c r="M10" s="12"/>
    </row>
    <row r="11" customFormat="false" ht="109.5" hidden="false" customHeight="true" outlineLevel="0" collapsed="false">
      <c r="A11" s="10" t="s">
        <v>80</v>
      </c>
      <c r="B11" s="10" t="s">
        <v>9</v>
      </c>
      <c r="C11" s="10" t="s">
        <v>81</v>
      </c>
      <c r="D11" s="10" t="s">
        <v>82</v>
      </c>
      <c r="E11" s="10" t="s">
        <v>83</v>
      </c>
      <c r="F11" s="10" t="s">
        <v>84</v>
      </c>
      <c r="G11" s="10" t="s">
        <v>85</v>
      </c>
      <c r="H11" s="10" t="s">
        <v>5</v>
      </c>
      <c r="I11" s="10" t="s">
        <v>43</v>
      </c>
      <c r="J11" s="10" t="s">
        <v>71</v>
      </c>
      <c r="K11" s="10" t="s">
        <v>45</v>
      </c>
      <c r="L11" s="11"/>
      <c r="M11" s="10"/>
    </row>
    <row r="12" customFormat="false" ht="109.5" hidden="false" customHeight="true" outlineLevel="0" collapsed="false">
      <c r="A12" s="12" t="s">
        <v>86</v>
      </c>
      <c r="B12" s="12" t="s">
        <v>9</v>
      </c>
      <c r="C12" s="12" t="s">
        <v>87</v>
      </c>
      <c r="D12" s="12" t="s">
        <v>88</v>
      </c>
      <c r="E12" s="12" t="s">
        <v>89</v>
      </c>
      <c r="F12" s="12" t="s">
        <v>90</v>
      </c>
      <c r="G12" s="12" t="s">
        <v>91</v>
      </c>
      <c r="H12" s="12" t="s">
        <v>5</v>
      </c>
      <c r="I12" s="12" t="s">
        <v>92</v>
      </c>
      <c r="J12" s="12" t="s">
        <v>93</v>
      </c>
      <c r="K12" s="12" t="s">
        <v>94</v>
      </c>
      <c r="L12" s="11"/>
      <c r="M12" s="12"/>
    </row>
    <row r="13" customFormat="false" ht="109.5" hidden="false" customHeight="true" outlineLevel="0" collapsed="false">
      <c r="A13" s="10" t="s">
        <v>95</v>
      </c>
      <c r="B13" s="10" t="s">
        <v>10</v>
      </c>
      <c r="C13" s="10" t="s">
        <v>96</v>
      </c>
      <c r="D13" s="10" t="s">
        <v>97</v>
      </c>
      <c r="E13" s="10" t="s">
        <v>98</v>
      </c>
      <c r="F13" s="10" t="s">
        <v>99</v>
      </c>
      <c r="G13" s="10" t="s">
        <v>100</v>
      </c>
      <c r="H13" s="10" t="s">
        <v>5</v>
      </c>
      <c r="I13" s="10" t="s">
        <v>43</v>
      </c>
      <c r="J13" s="10" t="s">
        <v>44</v>
      </c>
      <c r="K13" s="10" t="s">
        <v>52</v>
      </c>
      <c r="L13" s="11"/>
      <c r="M13" s="10"/>
    </row>
    <row r="14" customFormat="false" ht="109.5" hidden="false" customHeight="true" outlineLevel="0" collapsed="false">
      <c r="A14" s="12" t="s">
        <v>101</v>
      </c>
      <c r="B14" s="12" t="s">
        <v>10</v>
      </c>
      <c r="C14" s="12" t="s">
        <v>102</v>
      </c>
      <c r="D14" s="12" t="s">
        <v>103</v>
      </c>
      <c r="E14" s="12" t="s">
        <v>104</v>
      </c>
      <c r="F14" s="12" t="s">
        <v>105</v>
      </c>
      <c r="G14" s="12" t="s">
        <v>106</v>
      </c>
      <c r="H14" s="12" t="s">
        <v>6</v>
      </c>
      <c r="I14" s="12" t="s">
        <v>78</v>
      </c>
      <c r="J14" s="12" t="s">
        <v>58</v>
      </c>
      <c r="K14" s="12" t="s">
        <v>45</v>
      </c>
      <c r="L14" s="11"/>
      <c r="M14" s="12"/>
    </row>
    <row r="15" customFormat="false" ht="109.5" hidden="false" customHeight="true" outlineLevel="0" collapsed="false">
      <c r="A15" s="10" t="s">
        <v>107</v>
      </c>
      <c r="B15" s="10" t="s">
        <v>10</v>
      </c>
      <c r="C15" s="10" t="s">
        <v>108</v>
      </c>
      <c r="D15" s="10" t="s">
        <v>109</v>
      </c>
      <c r="E15" s="10" t="s">
        <v>110</v>
      </c>
      <c r="F15" s="10" t="s">
        <v>111</v>
      </c>
      <c r="G15" s="10" t="s">
        <v>112</v>
      </c>
      <c r="H15" s="10" t="s">
        <v>5</v>
      </c>
      <c r="I15" s="10" t="s">
        <v>43</v>
      </c>
      <c r="J15" s="10" t="s">
        <v>113</v>
      </c>
      <c r="K15" s="10"/>
      <c r="L15" s="11"/>
      <c r="M15" s="10"/>
    </row>
    <row r="16" customFormat="false" ht="109.5" hidden="false" customHeight="true" outlineLevel="0" collapsed="false">
      <c r="A16" s="12" t="s">
        <v>114</v>
      </c>
      <c r="B16" s="12" t="s">
        <v>10</v>
      </c>
      <c r="C16" s="12" t="s">
        <v>115</v>
      </c>
      <c r="D16" s="12" t="s">
        <v>116</v>
      </c>
      <c r="E16" s="12" t="s">
        <v>117</v>
      </c>
      <c r="F16" s="12" t="s">
        <v>118</v>
      </c>
      <c r="G16" s="12" t="s">
        <v>119</v>
      </c>
      <c r="H16" s="12" t="s">
        <v>5</v>
      </c>
      <c r="I16" s="12" t="s">
        <v>92</v>
      </c>
      <c r="J16" s="12" t="s">
        <v>51</v>
      </c>
      <c r="K16" s="12"/>
      <c r="L16" s="11"/>
      <c r="M16" s="12"/>
    </row>
    <row r="17" customFormat="false" ht="109.5" hidden="false" customHeight="true" outlineLevel="0" collapsed="false">
      <c r="A17" s="10" t="s">
        <v>120</v>
      </c>
      <c r="B17" s="10" t="s">
        <v>10</v>
      </c>
      <c r="C17" s="10" t="s">
        <v>121</v>
      </c>
      <c r="D17" s="10" t="s">
        <v>122</v>
      </c>
      <c r="E17" s="10" t="s">
        <v>123</v>
      </c>
      <c r="F17" s="10" t="s">
        <v>124</v>
      </c>
      <c r="G17" s="10" t="s">
        <v>125</v>
      </c>
      <c r="H17" s="10" t="s">
        <v>6</v>
      </c>
      <c r="I17" s="10" t="s">
        <v>92</v>
      </c>
      <c r="J17" s="10" t="s">
        <v>51</v>
      </c>
      <c r="K17" s="10"/>
      <c r="L17" s="11"/>
      <c r="M17" s="10"/>
    </row>
    <row r="18" customFormat="false" ht="109.5" hidden="false" customHeight="true" outlineLevel="0" collapsed="false">
      <c r="A18" s="12" t="s">
        <v>126</v>
      </c>
      <c r="B18" s="12" t="s">
        <v>10</v>
      </c>
      <c r="C18" s="12" t="s">
        <v>127</v>
      </c>
      <c r="D18" s="12" t="s">
        <v>128</v>
      </c>
      <c r="E18" s="12" t="s">
        <v>129</v>
      </c>
      <c r="F18" s="12" t="s">
        <v>130</v>
      </c>
      <c r="G18" s="12" t="s">
        <v>131</v>
      </c>
      <c r="H18" s="12" t="s">
        <v>6</v>
      </c>
      <c r="I18" s="12" t="s">
        <v>43</v>
      </c>
      <c r="J18" s="12" t="s">
        <v>51</v>
      </c>
      <c r="K18" s="12" t="s">
        <v>59</v>
      </c>
      <c r="L18" s="11"/>
      <c r="M18" s="12"/>
    </row>
    <row r="19" customFormat="false" ht="109.5" hidden="false" customHeight="true" outlineLevel="0" collapsed="false">
      <c r="A19" s="10" t="s">
        <v>132</v>
      </c>
      <c r="B19" s="10" t="s">
        <v>10</v>
      </c>
      <c r="C19" s="10" t="s">
        <v>133</v>
      </c>
      <c r="D19" s="10" t="s">
        <v>134</v>
      </c>
      <c r="E19" s="10" t="s">
        <v>135</v>
      </c>
      <c r="F19" s="10" t="s">
        <v>136</v>
      </c>
      <c r="G19" s="10" t="s">
        <v>137</v>
      </c>
      <c r="H19" s="10" t="s">
        <v>5</v>
      </c>
      <c r="I19" s="10" t="s">
        <v>92</v>
      </c>
      <c r="J19" s="10" t="s">
        <v>138</v>
      </c>
      <c r="K19" s="10"/>
      <c r="L19" s="11"/>
      <c r="M19" s="10"/>
    </row>
    <row r="20" customFormat="false" ht="109.5" hidden="false" customHeight="true" outlineLevel="0" collapsed="false">
      <c r="A20" s="12" t="s">
        <v>139</v>
      </c>
      <c r="B20" s="12" t="s">
        <v>11</v>
      </c>
      <c r="C20" s="12" t="s">
        <v>140</v>
      </c>
      <c r="D20" s="12" t="s">
        <v>141</v>
      </c>
      <c r="E20" s="12" t="s">
        <v>142</v>
      </c>
      <c r="F20" s="12" t="s">
        <v>143</v>
      </c>
      <c r="G20" s="12" t="s">
        <v>144</v>
      </c>
      <c r="H20" s="12" t="s">
        <v>4</v>
      </c>
      <c r="I20" s="12" t="s">
        <v>92</v>
      </c>
      <c r="J20" s="12" t="s">
        <v>145</v>
      </c>
      <c r="K20" s="12"/>
      <c r="L20" s="11"/>
      <c r="M20" s="12"/>
    </row>
    <row r="21" customFormat="false" ht="109.5" hidden="false" customHeight="true" outlineLevel="0" collapsed="false">
      <c r="A21" s="10" t="s">
        <v>146</v>
      </c>
      <c r="B21" s="10" t="s">
        <v>11</v>
      </c>
      <c r="C21" s="10" t="s">
        <v>147</v>
      </c>
      <c r="D21" s="10" t="s">
        <v>148</v>
      </c>
      <c r="E21" s="10" t="s">
        <v>149</v>
      </c>
      <c r="F21" s="10" t="s">
        <v>150</v>
      </c>
      <c r="G21" s="10" t="s">
        <v>151</v>
      </c>
      <c r="H21" s="10" t="s">
        <v>4</v>
      </c>
      <c r="I21" s="10" t="s">
        <v>43</v>
      </c>
      <c r="J21" s="10" t="s">
        <v>152</v>
      </c>
      <c r="K21" s="10"/>
      <c r="L21" s="11"/>
      <c r="M21" s="10"/>
    </row>
    <row r="22" customFormat="false" ht="109.5" hidden="false" customHeight="true" outlineLevel="0" collapsed="false">
      <c r="A22" s="12" t="s">
        <v>153</v>
      </c>
      <c r="B22" s="12" t="s">
        <v>11</v>
      </c>
      <c r="C22" s="12" t="s">
        <v>154</v>
      </c>
      <c r="D22" s="12" t="s">
        <v>155</v>
      </c>
      <c r="E22" s="12" t="s">
        <v>156</v>
      </c>
      <c r="F22" s="12" t="s">
        <v>157</v>
      </c>
      <c r="G22" s="12" t="s">
        <v>158</v>
      </c>
      <c r="H22" s="12" t="s">
        <v>6</v>
      </c>
      <c r="I22" s="12" t="s">
        <v>43</v>
      </c>
      <c r="J22" s="12" t="s">
        <v>159</v>
      </c>
      <c r="K22" s="12"/>
      <c r="L22" s="11"/>
      <c r="M22" s="12"/>
    </row>
    <row r="23" customFormat="false" ht="109.5" hidden="false" customHeight="true" outlineLevel="0" collapsed="false">
      <c r="A23" s="10" t="s">
        <v>160</v>
      </c>
      <c r="B23" s="10" t="s">
        <v>11</v>
      </c>
      <c r="C23" s="10" t="s">
        <v>161</v>
      </c>
      <c r="D23" s="10" t="s">
        <v>162</v>
      </c>
      <c r="E23" s="10" t="s">
        <v>163</v>
      </c>
      <c r="F23" s="10" t="s">
        <v>164</v>
      </c>
      <c r="G23" s="10" t="s">
        <v>165</v>
      </c>
      <c r="H23" s="10" t="s">
        <v>5</v>
      </c>
      <c r="I23" s="10" t="s">
        <v>92</v>
      </c>
      <c r="J23" s="10" t="s">
        <v>166</v>
      </c>
      <c r="K23" s="10"/>
      <c r="L23" s="11"/>
      <c r="M23" s="10"/>
    </row>
    <row r="24" customFormat="false" ht="109.5" hidden="false" customHeight="true" outlineLevel="0" collapsed="false">
      <c r="A24" s="12" t="s">
        <v>167</v>
      </c>
      <c r="B24" s="12" t="s">
        <v>12</v>
      </c>
      <c r="C24" s="12" t="s">
        <v>168</v>
      </c>
      <c r="D24" s="12" t="s">
        <v>169</v>
      </c>
      <c r="E24" s="12" t="s">
        <v>170</v>
      </c>
      <c r="F24" s="12" t="s">
        <v>171</v>
      </c>
      <c r="G24" s="12" t="s">
        <v>172</v>
      </c>
      <c r="H24" s="12" t="s">
        <v>5</v>
      </c>
      <c r="I24" s="12" t="s">
        <v>43</v>
      </c>
      <c r="J24" s="12" t="s">
        <v>166</v>
      </c>
      <c r="K24" s="12"/>
      <c r="L24" s="11"/>
      <c r="M24" s="12"/>
    </row>
    <row r="25" customFormat="false" ht="109.5" hidden="false" customHeight="true" outlineLevel="0" collapsed="false">
      <c r="A25" s="10" t="s">
        <v>173</v>
      </c>
      <c r="B25" s="10" t="s">
        <v>12</v>
      </c>
      <c r="C25" s="10" t="s">
        <v>174</v>
      </c>
      <c r="D25" s="10" t="s">
        <v>175</v>
      </c>
      <c r="E25" s="10" t="s">
        <v>176</v>
      </c>
      <c r="F25" s="10" t="s">
        <v>177</v>
      </c>
      <c r="G25" s="10" t="s">
        <v>178</v>
      </c>
      <c r="H25" s="10" t="s">
        <v>5</v>
      </c>
      <c r="I25" s="10" t="s">
        <v>43</v>
      </c>
      <c r="J25" s="10" t="s">
        <v>51</v>
      </c>
      <c r="K25" s="10" t="s">
        <v>37</v>
      </c>
      <c r="L25" s="11"/>
      <c r="M25" s="10"/>
    </row>
    <row r="26" customFormat="false" ht="109.5" hidden="false" customHeight="true" outlineLevel="0" collapsed="false">
      <c r="A26" s="12" t="s">
        <v>179</v>
      </c>
      <c r="B26" s="12" t="s">
        <v>12</v>
      </c>
      <c r="C26" s="12" t="s">
        <v>180</v>
      </c>
      <c r="D26" s="12" t="s">
        <v>181</v>
      </c>
      <c r="E26" s="12" t="s">
        <v>182</v>
      </c>
      <c r="F26" s="12" t="s">
        <v>183</v>
      </c>
      <c r="G26" s="12" t="s">
        <v>184</v>
      </c>
      <c r="H26" s="12" t="s">
        <v>5</v>
      </c>
      <c r="I26" s="12" t="s">
        <v>43</v>
      </c>
      <c r="J26" s="12" t="s">
        <v>51</v>
      </c>
      <c r="K26" s="12"/>
      <c r="L26" s="11"/>
      <c r="M26" s="12"/>
    </row>
    <row r="27" customFormat="false" ht="109.5" hidden="false" customHeight="true" outlineLevel="0" collapsed="false">
      <c r="A27" s="10" t="s">
        <v>185</v>
      </c>
      <c r="B27" s="10" t="s">
        <v>12</v>
      </c>
      <c r="C27" s="10" t="s">
        <v>186</v>
      </c>
      <c r="D27" s="10" t="s">
        <v>187</v>
      </c>
      <c r="E27" s="10" t="s">
        <v>188</v>
      </c>
      <c r="F27" s="10" t="s">
        <v>189</v>
      </c>
      <c r="G27" s="10" t="s">
        <v>190</v>
      </c>
      <c r="H27" s="10" t="s">
        <v>5</v>
      </c>
      <c r="I27" s="10" t="s">
        <v>43</v>
      </c>
      <c r="J27" s="10" t="s">
        <v>191</v>
      </c>
      <c r="K27" s="10" t="s">
        <v>192</v>
      </c>
      <c r="L27" s="11"/>
      <c r="M27" s="10"/>
    </row>
    <row r="28" customFormat="false" ht="109.5" hidden="false" customHeight="true" outlineLevel="0" collapsed="false">
      <c r="A28" s="12" t="s">
        <v>193</v>
      </c>
      <c r="B28" s="12" t="s">
        <v>12</v>
      </c>
      <c r="C28" s="12" t="s">
        <v>194</v>
      </c>
      <c r="D28" s="12" t="s">
        <v>195</v>
      </c>
      <c r="E28" s="12" t="s">
        <v>196</v>
      </c>
      <c r="F28" s="12" t="s">
        <v>197</v>
      </c>
      <c r="G28" s="12" t="s">
        <v>198</v>
      </c>
      <c r="H28" s="12" t="s">
        <v>6</v>
      </c>
      <c r="I28" s="12" t="s">
        <v>92</v>
      </c>
      <c r="J28" s="12" t="s">
        <v>51</v>
      </c>
      <c r="K28" s="12"/>
      <c r="L28" s="11"/>
      <c r="M28" s="12"/>
    </row>
    <row r="29" customFormat="false" ht="109.5" hidden="false" customHeight="true" outlineLevel="0" collapsed="false">
      <c r="A29" s="10" t="s">
        <v>192</v>
      </c>
      <c r="B29" s="10" t="s">
        <v>13</v>
      </c>
      <c r="C29" s="10" t="s">
        <v>199</v>
      </c>
      <c r="D29" s="10" t="s">
        <v>200</v>
      </c>
      <c r="E29" s="10" t="s">
        <v>201</v>
      </c>
      <c r="F29" s="10" t="s">
        <v>202</v>
      </c>
      <c r="G29" s="10" t="s">
        <v>203</v>
      </c>
      <c r="H29" s="10" t="s">
        <v>4</v>
      </c>
      <c r="I29" s="10" t="s">
        <v>92</v>
      </c>
      <c r="J29" s="10" t="s">
        <v>204</v>
      </c>
      <c r="K29" s="10"/>
      <c r="L29" s="11"/>
      <c r="M29" s="10"/>
    </row>
    <row r="30" customFormat="false" ht="109.5" hidden="false" customHeight="true" outlineLevel="0" collapsed="false">
      <c r="A30" s="12" t="s">
        <v>205</v>
      </c>
      <c r="B30" s="12" t="s">
        <v>13</v>
      </c>
      <c r="C30" s="12" t="s">
        <v>206</v>
      </c>
      <c r="D30" s="12" t="s">
        <v>207</v>
      </c>
      <c r="E30" s="12" t="s">
        <v>208</v>
      </c>
      <c r="F30" s="12" t="s">
        <v>209</v>
      </c>
      <c r="G30" s="12" t="s">
        <v>210</v>
      </c>
      <c r="H30" s="12" t="s">
        <v>4</v>
      </c>
      <c r="I30" s="12" t="s">
        <v>92</v>
      </c>
      <c r="J30" s="12" t="s">
        <v>211</v>
      </c>
      <c r="K30" s="12"/>
      <c r="L30" s="11"/>
      <c r="M30" s="12"/>
    </row>
    <row r="31" customFormat="false" ht="109.5" hidden="false" customHeight="true" outlineLevel="0" collapsed="false">
      <c r="A31" s="10" t="s">
        <v>212</v>
      </c>
      <c r="B31" s="10" t="s">
        <v>13</v>
      </c>
      <c r="C31" s="10" t="s">
        <v>213</v>
      </c>
      <c r="D31" s="10" t="s">
        <v>214</v>
      </c>
      <c r="E31" s="10" t="s">
        <v>215</v>
      </c>
      <c r="F31" s="10" t="s">
        <v>216</v>
      </c>
      <c r="G31" s="10" t="s">
        <v>217</v>
      </c>
      <c r="H31" s="10" t="s">
        <v>4</v>
      </c>
      <c r="I31" s="10" t="s">
        <v>92</v>
      </c>
      <c r="J31" s="10" t="s">
        <v>218</v>
      </c>
      <c r="K31" s="10"/>
      <c r="L31" s="11"/>
      <c r="M31" s="10"/>
    </row>
    <row r="32" customFormat="false" ht="109.5" hidden="false" customHeight="true" outlineLevel="0" collapsed="false">
      <c r="A32" s="12" t="s">
        <v>219</v>
      </c>
      <c r="B32" s="12" t="s">
        <v>13</v>
      </c>
      <c r="C32" s="12" t="s">
        <v>220</v>
      </c>
      <c r="D32" s="12" t="s">
        <v>221</v>
      </c>
      <c r="E32" s="12" t="s">
        <v>222</v>
      </c>
      <c r="F32" s="12" t="s">
        <v>223</v>
      </c>
      <c r="G32" s="12" t="s">
        <v>224</v>
      </c>
      <c r="H32" s="12" t="s">
        <v>5</v>
      </c>
      <c r="I32" s="12" t="s">
        <v>92</v>
      </c>
      <c r="J32" s="12" t="s">
        <v>225</v>
      </c>
      <c r="K32" s="12"/>
      <c r="L32" s="11"/>
      <c r="M32" s="12"/>
    </row>
    <row r="33" customFormat="false" ht="109.5" hidden="false" customHeight="true" outlineLevel="0" collapsed="false">
      <c r="A33" s="10" t="s">
        <v>226</v>
      </c>
      <c r="B33" s="10" t="s">
        <v>14</v>
      </c>
      <c r="C33" s="10" t="s">
        <v>227</v>
      </c>
      <c r="D33" s="10" t="s">
        <v>228</v>
      </c>
      <c r="E33" s="10" t="s">
        <v>229</v>
      </c>
      <c r="F33" s="10" t="s">
        <v>230</v>
      </c>
      <c r="G33" s="10" t="s">
        <v>231</v>
      </c>
      <c r="H33" s="10" t="s">
        <v>4</v>
      </c>
      <c r="I33" s="10" t="s">
        <v>92</v>
      </c>
      <c r="J33" s="10" t="s">
        <v>232</v>
      </c>
      <c r="K33" s="10"/>
      <c r="L33" s="11"/>
      <c r="M33" s="10"/>
    </row>
    <row r="34" customFormat="false" ht="109.5" hidden="false" customHeight="true" outlineLevel="0" collapsed="false">
      <c r="A34" s="12" t="s">
        <v>233</v>
      </c>
      <c r="B34" s="12" t="s">
        <v>14</v>
      </c>
      <c r="C34" s="12" t="s">
        <v>234</v>
      </c>
      <c r="D34" s="12" t="s">
        <v>235</v>
      </c>
      <c r="E34" s="12" t="s">
        <v>236</v>
      </c>
      <c r="F34" s="12" t="s">
        <v>237</v>
      </c>
      <c r="G34" s="12" t="s">
        <v>238</v>
      </c>
      <c r="H34" s="12" t="s">
        <v>5</v>
      </c>
      <c r="I34" s="12" t="s">
        <v>43</v>
      </c>
      <c r="J34" s="12" t="s">
        <v>232</v>
      </c>
      <c r="K34" s="12"/>
      <c r="L34" s="11"/>
      <c r="M34" s="12"/>
    </row>
    <row r="35" customFormat="false" ht="109.5" hidden="false" customHeight="true" outlineLevel="0" collapsed="false">
      <c r="A35" s="10" t="s">
        <v>239</v>
      </c>
      <c r="B35" s="10" t="s">
        <v>14</v>
      </c>
      <c r="C35" s="10" t="s">
        <v>240</v>
      </c>
      <c r="D35" s="10" t="s">
        <v>241</v>
      </c>
      <c r="E35" s="10" t="s">
        <v>242</v>
      </c>
      <c r="F35" s="10" t="s">
        <v>243</v>
      </c>
      <c r="G35" s="10" t="s">
        <v>244</v>
      </c>
      <c r="H35" s="10" t="s">
        <v>5</v>
      </c>
      <c r="I35" s="10" t="s">
        <v>92</v>
      </c>
      <c r="J35" s="10" t="s">
        <v>232</v>
      </c>
      <c r="K35" s="10"/>
      <c r="L35" s="11"/>
      <c r="M35" s="10"/>
    </row>
    <row r="36" customFormat="false" ht="109.5" hidden="false" customHeight="true" outlineLevel="0" collapsed="false">
      <c r="A36" s="12" t="s">
        <v>245</v>
      </c>
      <c r="B36" s="12" t="s">
        <v>14</v>
      </c>
      <c r="C36" s="12" t="s">
        <v>246</v>
      </c>
      <c r="D36" s="12" t="s">
        <v>247</v>
      </c>
      <c r="E36" s="12" t="s">
        <v>248</v>
      </c>
      <c r="F36" s="12" t="s">
        <v>249</v>
      </c>
      <c r="G36" s="12" t="s">
        <v>250</v>
      </c>
      <c r="H36" s="12" t="s">
        <v>6</v>
      </c>
      <c r="I36" s="12" t="s">
        <v>92</v>
      </c>
      <c r="J36" s="12" t="s">
        <v>232</v>
      </c>
      <c r="K36" s="12"/>
      <c r="L36" s="11"/>
      <c r="M36" s="12"/>
    </row>
    <row r="37" customFormat="false" ht="109.5" hidden="false" customHeight="true" outlineLevel="0" collapsed="false">
      <c r="A37" s="10" t="s">
        <v>251</v>
      </c>
      <c r="B37" s="10" t="s">
        <v>15</v>
      </c>
      <c r="C37" s="10" t="s">
        <v>252</v>
      </c>
      <c r="D37" s="10" t="s">
        <v>253</v>
      </c>
      <c r="E37" s="10" t="s">
        <v>254</v>
      </c>
      <c r="F37" s="10" t="s">
        <v>255</v>
      </c>
      <c r="G37" s="10" t="s">
        <v>256</v>
      </c>
      <c r="H37" s="10" t="s">
        <v>4</v>
      </c>
      <c r="I37" s="10" t="s">
        <v>92</v>
      </c>
      <c r="J37" s="10" t="s">
        <v>257</v>
      </c>
      <c r="K37" s="10"/>
      <c r="L37" s="11"/>
      <c r="M37" s="10"/>
    </row>
    <row r="38" customFormat="false" ht="109.5" hidden="false" customHeight="true" outlineLevel="0" collapsed="false">
      <c r="A38" s="12" t="s">
        <v>258</v>
      </c>
      <c r="B38" s="12" t="s">
        <v>15</v>
      </c>
      <c r="C38" s="12" t="s">
        <v>259</v>
      </c>
      <c r="D38" s="12" t="s">
        <v>260</v>
      </c>
      <c r="E38" s="12" t="s">
        <v>261</v>
      </c>
      <c r="F38" s="12" t="s">
        <v>262</v>
      </c>
      <c r="G38" s="12" t="s">
        <v>263</v>
      </c>
      <c r="H38" s="12" t="s">
        <v>5</v>
      </c>
      <c r="I38" s="12" t="s">
        <v>92</v>
      </c>
      <c r="J38" s="12" t="s">
        <v>264</v>
      </c>
      <c r="K38" s="12" t="s">
        <v>37</v>
      </c>
      <c r="L38" s="11"/>
      <c r="M38" s="12"/>
    </row>
    <row r="39" customFormat="false" ht="109.5" hidden="false" customHeight="true" outlineLevel="0" collapsed="false">
      <c r="A39" s="10" t="s">
        <v>265</v>
      </c>
      <c r="B39" s="10" t="s">
        <v>15</v>
      </c>
      <c r="C39" s="10" t="s">
        <v>266</v>
      </c>
      <c r="D39" s="10" t="s">
        <v>267</v>
      </c>
      <c r="E39" s="10" t="s">
        <v>268</v>
      </c>
      <c r="F39" s="10" t="s">
        <v>269</v>
      </c>
      <c r="G39" s="10" t="s">
        <v>270</v>
      </c>
      <c r="H39" s="10" t="s">
        <v>5</v>
      </c>
      <c r="I39" s="10" t="s">
        <v>92</v>
      </c>
      <c r="J39" s="10" t="s">
        <v>138</v>
      </c>
      <c r="K39" s="10"/>
      <c r="L39" s="11"/>
      <c r="M39" s="10"/>
    </row>
    <row r="40" customFormat="false" ht="109.5" hidden="false" customHeight="true" outlineLevel="0" collapsed="false">
      <c r="A40" s="12" t="s">
        <v>271</v>
      </c>
      <c r="B40" s="12" t="s">
        <v>15</v>
      </c>
      <c r="C40" s="12" t="s">
        <v>272</v>
      </c>
      <c r="D40" s="12" t="s">
        <v>273</v>
      </c>
      <c r="E40" s="12" t="s">
        <v>274</v>
      </c>
      <c r="F40" s="12" t="s">
        <v>275</v>
      </c>
      <c r="G40" s="12" t="s">
        <v>276</v>
      </c>
      <c r="H40" s="12" t="s">
        <v>5</v>
      </c>
      <c r="I40" s="12" t="s">
        <v>92</v>
      </c>
      <c r="J40" s="12" t="s">
        <v>277</v>
      </c>
      <c r="K40" s="12"/>
      <c r="L40" s="11"/>
      <c r="M40" s="12"/>
    </row>
  </sheetData>
  <autoFilter ref="A4:M40"/>
  <mergeCells count="1">
    <mergeCell ref="A2:M2"/>
  </mergeCells>
  <conditionalFormatting sqref="H5:H40">
    <cfRule type="cellIs" priority="2" operator="equal" aboveAverage="0" equalAverage="0" bottom="0" percent="0" rank="0" text="" dxfId="6">
      <formula>"P1"</formula>
    </cfRule>
  </conditionalFormatting>
  <conditionalFormatting sqref="L5:L40">
    <cfRule type="cellIs" priority="3" operator="equal" aboveAverage="0" equalAverage="0" bottom="0" percent="0" rank="0" text="" dxfId="7">
      <formula>"Approve"</formula>
    </cfRule>
    <cfRule type="cellIs" priority="4" operator="equal" aboveAverage="0" equalAverage="0" bottom="0" percent="0" rank="0" text="" dxfId="8">
      <formula>"Reject"</formula>
    </cfRule>
  </conditionalFormatting>
  <dataValidations count="3">
    <dataValidation allowBlank="true" errorStyle="stop" operator="between" showDropDown="false" showErrorMessage="false" showInputMessage="false" sqref="L5:L40" type="list">
      <formula1>"Approve,Defer,Reject,Discuss"</formula1>
      <formula2>0</formula2>
    </dataValidation>
    <dataValidation allowBlank="false" errorStyle="stop" operator="between" showDropDown="false" showErrorMessage="false" showInputMessage="false" sqref="H5:H40" type="list">
      <formula1>"P1,P2,P3"</formula1>
      <formula2>0</formula2>
    </dataValidation>
    <dataValidation allowBlank="false" errorStyle="stop" operator="between" showDropDown="false" showErrorMessage="false" showInputMessage="false" sqref="I5:I40" type="list">
      <formula1>"S,M,L"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8" t="s">
        <v>278</v>
      </c>
    </row>
    <row r="2" customFormat="false" ht="48" hidden="false" customHeight="true" outlineLevel="0" collapsed="false">
      <c r="A2" s="9" t="s">
        <v>279</v>
      </c>
      <c r="B2" s="9"/>
      <c r="C2" s="9"/>
      <c r="D2" s="9"/>
      <c r="E2" s="9"/>
      <c r="F2" s="9"/>
      <c r="G2" s="9"/>
      <c r="H2" s="9"/>
      <c r="I2" s="9"/>
    </row>
    <row r="4" customFormat="false" ht="30" hidden="false" customHeight="true" outlineLevel="0" collapsed="false">
      <c r="A4" s="4" t="s">
        <v>280</v>
      </c>
      <c r="B4" s="4" t="s">
        <v>281</v>
      </c>
      <c r="C4" s="4" t="s">
        <v>282</v>
      </c>
      <c r="D4" s="4" t="s">
        <v>283</v>
      </c>
      <c r="E4" s="4" t="s">
        <v>284</v>
      </c>
      <c r="F4" s="4" t="s">
        <v>29</v>
      </c>
      <c r="G4" s="4" t="s">
        <v>285</v>
      </c>
      <c r="H4" s="4" t="s">
        <v>286</v>
      </c>
      <c r="I4" s="4" t="s">
        <v>287</v>
      </c>
    </row>
    <row r="5" customFormat="false" ht="120" hidden="false" customHeight="true" outlineLevel="0" collapsed="false">
      <c r="A5" s="10" t="s">
        <v>288</v>
      </c>
      <c r="B5" s="10" t="s">
        <v>289</v>
      </c>
      <c r="C5" s="10" t="s">
        <v>290</v>
      </c>
      <c r="D5" s="10" t="s">
        <v>291</v>
      </c>
      <c r="E5" s="10" t="s">
        <v>292</v>
      </c>
      <c r="F5" s="10" t="s">
        <v>293</v>
      </c>
      <c r="G5" s="10" t="s">
        <v>294</v>
      </c>
      <c r="H5" s="10" t="s">
        <v>291</v>
      </c>
      <c r="I5" s="10" t="s">
        <v>295</v>
      </c>
    </row>
    <row r="6" customFormat="false" ht="120" hidden="false" customHeight="true" outlineLevel="0" collapsed="false">
      <c r="A6" s="12" t="s">
        <v>296</v>
      </c>
      <c r="B6" s="12" t="s">
        <v>297</v>
      </c>
      <c r="C6" s="12" t="s">
        <v>298</v>
      </c>
      <c r="D6" s="12" t="s">
        <v>299</v>
      </c>
      <c r="E6" s="12" t="s">
        <v>300</v>
      </c>
      <c r="F6" s="12" t="s">
        <v>301</v>
      </c>
      <c r="G6" s="12" t="s">
        <v>302</v>
      </c>
      <c r="H6" s="12" t="s">
        <v>303</v>
      </c>
      <c r="I6" s="12" t="s">
        <v>304</v>
      </c>
    </row>
    <row r="7" customFormat="false" ht="120" hidden="false" customHeight="true" outlineLevel="0" collapsed="false">
      <c r="A7" s="10" t="s">
        <v>305</v>
      </c>
      <c r="B7" s="10" t="s">
        <v>306</v>
      </c>
      <c r="C7" s="10" t="s">
        <v>307</v>
      </c>
      <c r="D7" s="10" t="s">
        <v>308</v>
      </c>
      <c r="E7" s="10" t="s">
        <v>309</v>
      </c>
      <c r="F7" s="10" t="s">
        <v>310</v>
      </c>
      <c r="G7" s="10" t="s">
        <v>311</v>
      </c>
      <c r="H7" s="10" t="s">
        <v>312</v>
      </c>
      <c r="I7" s="10" t="s">
        <v>313</v>
      </c>
    </row>
    <row r="8" customFormat="false" ht="120" hidden="false" customHeight="true" outlineLevel="0" collapsed="false">
      <c r="A8" s="12" t="s">
        <v>314</v>
      </c>
      <c r="B8" s="12" t="s">
        <v>306</v>
      </c>
      <c r="C8" s="12" t="s">
        <v>315</v>
      </c>
      <c r="D8" s="12" t="s">
        <v>316</v>
      </c>
      <c r="E8" s="12" t="s">
        <v>317</v>
      </c>
      <c r="F8" s="12" t="s">
        <v>318</v>
      </c>
      <c r="G8" s="12" t="s">
        <v>319</v>
      </c>
      <c r="H8" s="12" t="s">
        <v>320</v>
      </c>
      <c r="I8" s="12" t="s">
        <v>321</v>
      </c>
    </row>
    <row r="9" customFormat="false" ht="120" hidden="false" customHeight="true" outlineLevel="0" collapsed="false">
      <c r="A9" s="10" t="s">
        <v>322</v>
      </c>
      <c r="B9" s="10" t="s">
        <v>306</v>
      </c>
      <c r="C9" s="10" t="s">
        <v>323</v>
      </c>
      <c r="D9" s="10" t="s">
        <v>324</v>
      </c>
      <c r="E9" s="10" t="s">
        <v>325</v>
      </c>
      <c r="F9" s="10" t="s">
        <v>326</v>
      </c>
      <c r="G9" s="10" t="s">
        <v>319</v>
      </c>
      <c r="H9" s="10" t="s">
        <v>327</v>
      </c>
      <c r="I9" s="10" t="s">
        <v>328</v>
      </c>
    </row>
    <row r="10" customFormat="false" ht="120" hidden="false" customHeight="true" outlineLevel="0" collapsed="false">
      <c r="A10" s="12" t="s">
        <v>329</v>
      </c>
      <c r="B10" s="12" t="s">
        <v>330</v>
      </c>
      <c r="C10" s="12" t="s">
        <v>331</v>
      </c>
      <c r="D10" s="12" t="s">
        <v>332</v>
      </c>
      <c r="E10" s="12" t="s">
        <v>333</v>
      </c>
      <c r="F10" s="12" t="s">
        <v>334</v>
      </c>
      <c r="G10" s="12" t="s">
        <v>335</v>
      </c>
      <c r="H10" s="12" t="s">
        <v>336</v>
      </c>
      <c r="I10" s="12" t="s">
        <v>337</v>
      </c>
    </row>
    <row r="11" customFormat="false" ht="120" hidden="false" customHeight="true" outlineLevel="0" collapsed="false">
      <c r="A11" s="10" t="s">
        <v>338</v>
      </c>
      <c r="B11" s="10" t="s">
        <v>339</v>
      </c>
      <c r="C11" s="10" t="s">
        <v>340</v>
      </c>
      <c r="D11" s="10" t="s">
        <v>341</v>
      </c>
      <c r="E11" s="10" t="s">
        <v>342</v>
      </c>
      <c r="F11" s="10" t="s">
        <v>343</v>
      </c>
      <c r="G11" s="10" t="s">
        <v>344</v>
      </c>
      <c r="H11" s="10" t="s">
        <v>345</v>
      </c>
      <c r="I11" s="10" t="s">
        <v>346</v>
      </c>
    </row>
    <row r="12" customFormat="false" ht="120" hidden="false" customHeight="true" outlineLevel="0" collapsed="false">
      <c r="A12" s="12" t="s">
        <v>347</v>
      </c>
      <c r="B12" s="12" t="s">
        <v>348</v>
      </c>
      <c r="C12" s="12" t="s">
        <v>349</v>
      </c>
      <c r="D12" s="12" t="s">
        <v>350</v>
      </c>
      <c r="E12" s="12" t="s">
        <v>351</v>
      </c>
      <c r="F12" s="12" t="s">
        <v>352</v>
      </c>
      <c r="G12" s="12" t="s">
        <v>353</v>
      </c>
      <c r="H12" s="12" t="s">
        <v>354</v>
      </c>
      <c r="I12" s="12" t="s">
        <v>355</v>
      </c>
    </row>
    <row r="13" customFormat="false" ht="120" hidden="false" customHeight="true" outlineLevel="0" collapsed="false">
      <c r="A13" s="10" t="s">
        <v>356</v>
      </c>
      <c r="B13" s="10" t="s">
        <v>357</v>
      </c>
      <c r="C13" s="10" t="s">
        <v>358</v>
      </c>
      <c r="D13" s="10" t="s">
        <v>359</v>
      </c>
      <c r="E13" s="10" t="s">
        <v>360</v>
      </c>
      <c r="F13" s="10" t="s">
        <v>361</v>
      </c>
      <c r="G13" s="10" t="s">
        <v>362</v>
      </c>
      <c r="H13" s="10" t="s">
        <v>363</v>
      </c>
      <c r="I13" s="10" t="s">
        <v>364</v>
      </c>
    </row>
    <row r="14" customFormat="false" ht="120" hidden="false" customHeight="true" outlineLevel="0" collapsed="false">
      <c r="A14" s="12" t="s">
        <v>365</v>
      </c>
      <c r="B14" s="12" t="s">
        <v>366</v>
      </c>
      <c r="C14" s="12" t="s">
        <v>367</v>
      </c>
      <c r="D14" s="12" t="s">
        <v>368</v>
      </c>
      <c r="E14" s="12" t="s">
        <v>369</v>
      </c>
      <c r="F14" s="12" t="s">
        <v>370</v>
      </c>
      <c r="G14" s="12" t="s">
        <v>371</v>
      </c>
      <c r="H14" s="12" t="s">
        <v>372</v>
      </c>
      <c r="I14" s="12" t="s">
        <v>373</v>
      </c>
    </row>
    <row r="15" customFormat="false" ht="120" hidden="false" customHeight="true" outlineLevel="0" collapsed="false">
      <c r="A15" s="10" t="s">
        <v>374</v>
      </c>
      <c r="B15" s="10" t="s">
        <v>375</v>
      </c>
      <c r="C15" s="10" t="s">
        <v>376</v>
      </c>
      <c r="D15" s="10" t="s">
        <v>291</v>
      </c>
      <c r="E15" s="10" t="s">
        <v>377</v>
      </c>
      <c r="F15" s="10" t="s">
        <v>378</v>
      </c>
      <c r="G15" s="10" t="s">
        <v>379</v>
      </c>
      <c r="H15" s="10" t="s">
        <v>291</v>
      </c>
      <c r="I15" s="10" t="s">
        <v>380</v>
      </c>
    </row>
    <row r="16" customFormat="false" ht="120" hidden="false" customHeight="true" outlineLevel="0" collapsed="false">
      <c r="A16" s="12" t="s">
        <v>381</v>
      </c>
      <c r="B16" s="12" t="s">
        <v>382</v>
      </c>
      <c r="C16" s="12" t="s">
        <v>383</v>
      </c>
      <c r="D16" s="12" t="s">
        <v>291</v>
      </c>
      <c r="E16" s="12" t="s">
        <v>384</v>
      </c>
      <c r="F16" s="12" t="s">
        <v>385</v>
      </c>
      <c r="G16" s="12" t="s">
        <v>291</v>
      </c>
      <c r="H16" s="12" t="s">
        <v>291</v>
      </c>
      <c r="I16" s="12" t="s">
        <v>386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4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8" t="s">
        <v>387</v>
      </c>
    </row>
    <row r="2" customFormat="false" ht="30" hidden="false" customHeight="true" outlineLevel="0" collapsed="false">
      <c r="A2" s="9" t="s">
        <v>388</v>
      </c>
      <c r="B2" s="9"/>
      <c r="C2" s="9"/>
      <c r="D2" s="9"/>
    </row>
    <row r="4" customFormat="false" ht="30" hidden="false" customHeight="true" outlineLevel="0" collapsed="false">
      <c r="A4" s="4" t="s">
        <v>389</v>
      </c>
      <c r="B4" s="4" t="s">
        <v>390</v>
      </c>
      <c r="C4" s="4" t="s">
        <v>391</v>
      </c>
      <c r="D4" s="4" t="s">
        <v>392</v>
      </c>
    </row>
    <row r="5" customFormat="false" ht="109.5" hidden="false" customHeight="true" outlineLevel="0" collapsed="false">
      <c r="A5" s="10" t="s">
        <v>393</v>
      </c>
      <c r="B5" s="13" t="s">
        <v>394</v>
      </c>
      <c r="C5" s="10" t="s">
        <v>395</v>
      </c>
      <c r="D5" s="10" t="s">
        <v>396</v>
      </c>
    </row>
    <row r="6" customFormat="false" ht="109.5" hidden="false" customHeight="true" outlineLevel="0" collapsed="false">
      <c r="A6" s="12" t="s">
        <v>397</v>
      </c>
      <c r="B6" s="14" t="s">
        <v>398</v>
      </c>
      <c r="C6" s="12" t="s">
        <v>399</v>
      </c>
      <c r="D6" s="12" t="s">
        <v>396</v>
      </c>
    </row>
    <row r="7" customFormat="false" ht="109.5" hidden="false" customHeight="true" outlineLevel="0" collapsed="false">
      <c r="A7" s="10" t="s">
        <v>400</v>
      </c>
      <c r="B7" s="13" t="s">
        <v>401</v>
      </c>
      <c r="C7" s="10" t="s">
        <v>402</v>
      </c>
      <c r="D7" s="10" t="s">
        <v>396</v>
      </c>
    </row>
    <row r="8" customFormat="false" ht="109.5" hidden="false" customHeight="true" outlineLevel="0" collapsed="false">
      <c r="A8" s="12" t="s">
        <v>403</v>
      </c>
      <c r="B8" s="14" t="s">
        <v>404</v>
      </c>
      <c r="C8" s="12" t="s">
        <v>405</v>
      </c>
      <c r="D8" s="12" t="s">
        <v>335</v>
      </c>
    </row>
    <row r="9" customFormat="false" ht="109.5" hidden="false" customHeight="true" outlineLevel="0" collapsed="false">
      <c r="A9" s="10" t="s">
        <v>406</v>
      </c>
      <c r="B9" s="13" t="s">
        <v>407</v>
      </c>
      <c r="C9" s="10" t="s">
        <v>408</v>
      </c>
      <c r="D9" s="10" t="s">
        <v>409</v>
      </c>
    </row>
    <row r="10" customFormat="false" ht="109.5" hidden="false" customHeight="true" outlineLevel="0" collapsed="false">
      <c r="A10" s="12" t="s">
        <v>410</v>
      </c>
      <c r="B10" s="14" t="s">
        <v>411</v>
      </c>
      <c r="C10" s="12" t="s">
        <v>412</v>
      </c>
      <c r="D10" s="12" t="s">
        <v>413</v>
      </c>
    </row>
    <row r="11" customFormat="false" ht="109.5" hidden="false" customHeight="true" outlineLevel="0" collapsed="false">
      <c r="A11" s="10" t="s">
        <v>414</v>
      </c>
      <c r="B11" s="13" t="s">
        <v>415</v>
      </c>
      <c r="C11" s="10" t="s">
        <v>416</v>
      </c>
      <c r="D11" s="10" t="s">
        <v>417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24"/>
    <col collapsed="false" customWidth="true" hidden="false" outlineLevel="0" max="7" min="7" style="0" width="40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8" t="s">
        <v>418</v>
      </c>
    </row>
    <row r="3" customFormat="false" ht="30" hidden="false" customHeight="true" outlineLevel="0" collapsed="false">
      <c r="A3" s="4" t="s">
        <v>419</v>
      </c>
      <c r="B3" s="4" t="s">
        <v>420</v>
      </c>
      <c r="C3" s="4" t="s">
        <v>421</v>
      </c>
      <c r="D3" s="4" t="s">
        <v>422</v>
      </c>
      <c r="E3" s="4" t="s">
        <v>423</v>
      </c>
      <c r="F3" s="4" t="s">
        <v>424</v>
      </c>
      <c r="G3" s="4" t="s">
        <v>425</v>
      </c>
      <c r="H3" s="4" t="s">
        <v>426</v>
      </c>
    </row>
    <row r="4" customFormat="false" ht="48" hidden="false" customHeight="true" outlineLevel="0" collapsed="false">
      <c r="A4" s="10" t="s">
        <v>427</v>
      </c>
      <c r="B4" s="10" t="s">
        <v>319</v>
      </c>
      <c r="C4" s="10" t="s">
        <v>428</v>
      </c>
      <c r="D4" s="10" t="s">
        <v>429</v>
      </c>
      <c r="E4" s="10" t="s">
        <v>430</v>
      </c>
      <c r="F4" s="10" t="s">
        <v>431</v>
      </c>
      <c r="G4" s="10" t="s">
        <v>432</v>
      </c>
      <c r="H4" s="10" t="s">
        <v>433</v>
      </c>
    </row>
    <row r="5" customFormat="false" ht="48" hidden="false" customHeight="true" outlineLevel="0" collapsed="false">
      <c r="A5" s="12" t="s">
        <v>434</v>
      </c>
      <c r="B5" s="12" t="s">
        <v>435</v>
      </c>
      <c r="C5" s="12" t="s">
        <v>436</v>
      </c>
      <c r="D5" s="12" t="s">
        <v>437</v>
      </c>
      <c r="E5" s="12" t="s">
        <v>437</v>
      </c>
      <c r="F5" s="12" t="s">
        <v>437</v>
      </c>
      <c r="G5" s="12" t="s">
        <v>438</v>
      </c>
      <c r="H5" s="12" t="s">
        <v>327</v>
      </c>
    </row>
    <row r="6" customFormat="false" ht="48" hidden="false" customHeight="true" outlineLevel="0" collapsed="false">
      <c r="A6" s="10" t="s">
        <v>439</v>
      </c>
      <c r="B6" s="10" t="s">
        <v>344</v>
      </c>
      <c r="C6" s="10" t="s">
        <v>440</v>
      </c>
      <c r="D6" s="10" t="s">
        <v>441</v>
      </c>
      <c r="E6" s="10" t="s">
        <v>437</v>
      </c>
      <c r="F6" s="10" t="s">
        <v>437</v>
      </c>
      <c r="G6" s="10" t="s">
        <v>442</v>
      </c>
      <c r="H6" s="10" t="s">
        <v>345</v>
      </c>
    </row>
    <row r="7" customFormat="false" ht="48" hidden="false" customHeight="true" outlineLevel="0" collapsed="false">
      <c r="A7" s="12" t="s">
        <v>349</v>
      </c>
      <c r="B7" s="12" t="s">
        <v>353</v>
      </c>
      <c r="C7" s="12" t="s">
        <v>443</v>
      </c>
      <c r="D7" s="12" t="s">
        <v>437</v>
      </c>
      <c r="E7" s="12" t="s">
        <v>437</v>
      </c>
      <c r="F7" s="12" t="s">
        <v>437</v>
      </c>
      <c r="G7" s="12" t="s">
        <v>444</v>
      </c>
      <c r="H7" s="12" t="s">
        <v>445</v>
      </c>
    </row>
    <row r="8" customFormat="false" ht="48" hidden="false" customHeight="true" outlineLevel="0" collapsed="false">
      <c r="A8" s="10" t="s">
        <v>446</v>
      </c>
      <c r="B8" s="10" t="s">
        <v>362</v>
      </c>
      <c r="C8" s="10" t="s">
        <v>447</v>
      </c>
      <c r="D8" s="10" t="s">
        <v>448</v>
      </c>
      <c r="E8" s="10" t="s">
        <v>449</v>
      </c>
      <c r="F8" s="10" t="s">
        <v>450</v>
      </c>
      <c r="G8" s="10" t="s">
        <v>451</v>
      </c>
      <c r="H8" s="10" t="s">
        <v>452</v>
      </c>
    </row>
    <row r="9" customFormat="false" ht="48" hidden="false" customHeight="true" outlineLevel="0" collapsed="false">
      <c r="A9" s="12" t="s">
        <v>403</v>
      </c>
      <c r="B9" s="12" t="s">
        <v>335</v>
      </c>
      <c r="C9" s="12" t="s">
        <v>453</v>
      </c>
      <c r="D9" s="12" t="s">
        <v>437</v>
      </c>
      <c r="E9" s="12" t="s">
        <v>437</v>
      </c>
      <c r="F9" s="12" t="s">
        <v>437</v>
      </c>
      <c r="G9" s="12" t="s">
        <v>454</v>
      </c>
      <c r="H9" s="12" t="s">
        <v>455</v>
      </c>
    </row>
    <row r="10" customFormat="false" ht="48" hidden="false" customHeight="true" outlineLevel="0" collapsed="false">
      <c r="A10" s="10" t="s">
        <v>456</v>
      </c>
      <c r="B10" s="10" t="s">
        <v>371</v>
      </c>
      <c r="C10" s="10" t="s">
        <v>457</v>
      </c>
      <c r="D10" s="10" t="s">
        <v>458</v>
      </c>
      <c r="E10" s="10" t="s">
        <v>437</v>
      </c>
      <c r="F10" s="10" t="s">
        <v>437</v>
      </c>
      <c r="G10" s="10" t="s">
        <v>459</v>
      </c>
      <c r="H10" s="10" t="s">
        <v>460</v>
      </c>
    </row>
    <row r="11" customFormat="false" ht="48" hidden="false" customHeight="true" outlineLevel="0" collapsed="false">
      <c r="A11" s="12" t="s">
        <v>461</v>
      </c>
      <c r="B11" s="12" t="s">
        <v>462</v>
      </c>
      <c r="C11" s="12" t="s">
        <v>463</v>
      </c>
      <c r="D11" s="12" t="s">
        <v>464</v>
      </c>
      <c r="E11" s="12" t="s">
        <v>464</v>
      </c>
      <c r="F11" s="12" t="s">
        <v>464</v>
      </c>
      <c r="G11" s="12" t="s">
        <v>291</v>
      </c>
      <c r="H11" s="12" t="s">
        <v>465</v>
      </c>
    </row>
    <row r="12" customFormat="false" ht="48" hidden="false" customHeight="true" outlineLevel="0" collapsed="false">
      <c r="A12" s="10" t="s">
        <v>466</v>
      </c>
      <c r="B12" s="10" t="s">
        <v>467</v>
      </c>
      <c r="C12" s="10" t="s">
        <v>468</v>
      </c>
      <c r="D12" s="10" t="s">
        <v>464</v>
      </c>
      <c r="E12" s="10" t="s">
        <v>464</v>
      </c>
      <c r="F12" s="10" t="s">
        <v>464</v>
      </c>
      <c r="G12" s="10" t="s">
        <v>291</v>
      </c>
      <c r="H12" s="10" t="s">
        <v>465</v>
      </c>
    </row>
    <row r="15" customFormat="false" ht="15" hidden="false" customHeight="false" outlineLevel="0" collapsed="false">
      <c r="A15" s="15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8" t="s">
        <v>470</v>
      </c>
    </row>
    <row r="3" customFormat="false" ht="30" hidden="false" customHeight="true" outlineLevel="0" collapsed="false">
      <c r="A3" s="4" t="s">
        <v>471</v>
      </c>
      <c r="B3" s="4" t="s">
        <v>472</v>
      </c>
      <c r="C3" s="4" t="s">
        <v>473</v>
      </c>
    </row>
    <row r="4" customFormat="false" ht="30" hidden="false" customHeight="true" outlineLevel="0" collapsed="false">
      <c r="A4" s="10" t="s">
        <v>474</v>
      </c>
      <c r="B4" s="10" t="s">
        <v>475</v>
      </c>
      <c r="C4" s="10" t="s">
        <v>476</v>
      </c>
    </row>
    <row r="5" customFormat="false" ht="30" hidden="false" customHeight="true" outlineLevel="0" collapsed="false">
      <c r="A5" s="12" t="s">
        <v>477</v>
      </c>
      <c r="B5" s="12" t="s">
        <v>478</v>
      </c>
      <c r="C5" s="12" t="s">
        <v>479</v>
      </c>
    </row>
    <row r="6" customFormat="false" ht="30" hidden="false" customHeight="true" outlineLevel="0" collapsed="false">
      <c r="A6" s="10" t="s">
        <v>480</v>
      </c>
      <c r="B6" s="10" t="s">
        <v>481</v>
      </c>
      <c r="C6" s="10" t="s">
        <v>482</v>
      </c>
    </row>
    <row r="7" customFormat="false" ht="30" hidden="false" customHeight="true" outlineLevel="0" collapsed="false">
      <c r="A7" s="12" t="s">
        <v>483</v>
      </c>
      <c r="B7" s="12" t="s">
        <v>484</v>
      </c>
      <c r="C7" s="12" t="s">
        <v>485</v>
      </c>
    </row>
    <row r="8" customFormat="false" ht="30" hidden="false" customHeight="true" outlineLevel="0" collapsed="false">
      <c r="A8" s="10" t="s">
        <v>486</v>
      </c>
      <c r="B8" s="10" t="s">
        <v>487</v>
      </c>
      <c r="C8" s="10" t="s">
        <v>488</v>
      </c>
    </row>
    <row r="9" customFormat="false" ht="30" hidden="false" customHeight="true" outlineLevel="0" collapsed="false">
      <c r="A9" s="12" t="s">
        <v>349</v>
      </c>
      <c r="B9" s="12" t="s">
        <v>489</v>
      </c>
      <c r="C9" s="12" t="s">
        <v>490</v>
      </c>
    </row>
    <row r="10" customFormat="false" ht="30" hidden="false" customHeight="true" outlineLevel="0" collapsed="false">
      <c r="A10" s="10" t="s">
        <v>491</v>
      </c>
      <c r="B10" s="10" t="s">
        <v>492</v>
      </c>
      <c r="C10" s="10" t="s">
        <v>493</v>
      </c>
    </row>
    <row r="11" customFormat="false" ht="30" hidden="false" customHeight="true" outlineLevel="0" collapsed="false">
      <c r="A11" s="12" t="s">
        <v>494</v>
      </c>
      <c r="B11" s="12" t="s">
        <v>495</v>
      </c>
      <c r="C11" s="12" t="s">
        <v>496</v>
      </c>
    </row>
    <row r="12" customFormat="false" ht="30" hidden="false" customHeight="true" outlineLevel="0" collapsed="false">
      <c r="A12" s="10" t="s">
        <v>497</v>
      </c>
      <c r="B12" s="10" t="s">
        <v>498</v>
      </c>
      <c r="C12" s="10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2026-09-23T12:53:57Z</dcterms:created>
  <dc:creator>openpyxl</dc:creator>
  <dc:description/>
  <dc:language>en-US</dc:language>
  <cp:lastModifiedBy/>
  <dcterms:modified xsi:type="dcterms:W3CDTF">2026-09-23T12:53:57Z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